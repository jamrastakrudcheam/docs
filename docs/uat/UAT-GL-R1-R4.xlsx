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filterPrivacy="1"/>
  <xr:revisionPtr revIDLastSave="0" documentId="13_ncr:1_{48B97D47-3D93-4DB2-AFE9-9065E681FEB3}" xr6:coauthVersionLast="47" xr6:coauthVersionMax="47" xr10:uidLastSave="{00000000-0000-0000-0000-000000000000}"/>
  <bookViews>
    <workbookView xWindow="3495" yWindow="3495" windowWidth="20318" windowHeight="8160" xr2:uid="{00000000-000D-0000-FFFF-FFFF00000000}"/>
  </bookViews>
  <sheets>
    <sheet name="Cover" sheetId="1" r:id="rId1"/>
    <sheet name="Scenarios" sheetId="2" r:id="rId2"/>
    <sheet name="Test Cases" sheetId="3" r:id="rId3"/>
    <sheet name="Test Data" sheetId="4" r:id="rId4"/>
    <sheet name="Sign-off" sheetId="5" r:id="rId5"/>
  </sheets>
  <calcPr calcId="181029"/>
</workbook>
</file>

<file path=xl/calcChain.xml><?xml version="1.0" encoding="utf-8"?>
<calcChain xmlns="http://schemas.openxmlformats.org/spreadsheetml/2006/main">
  <c r="J23" i="2" l="1"/>
  <c r="I23" i="2"/>
  <c r="H23" i="2"/>
  <c r="G23" i="2"/>
  <c r="F23" i="2"/>
  <c r="J22" i="2"/>
  <c r="I22" i="2"/>
  <c r="H22" i="2"/>
  <c r="G22" i="2"/>
  <c r="F22" i="2"/>
  <c r="J21" i="2"/>
  <c r="I21" i="2"/>
  <c r="H21" i="2"/>
  <c r="G21" i="2"/>
  <c r="F21" i="2"/>
  <c r="J20" i="2"/>
  <c r="I20" i="2"/>
  <c r="H20" i="2"/>
  <c r="G20" i="2"/>
  <c r="F20" i="2"/>
  <c r="J19" i="2"/>
  <c r="I19" i="2"/>
  <c r="H19" i="2"/>
  <c r="G19" i="2"/>
  <c r="F19" i="2"/>
  <c r="J18" i="2"/>
  <c r="I18" i="2"/>
  <c r="H18" i="2"/>
  <c r="G18" i="2"/>
  <c r="F18" i="2"/>
  <c r="J17" i="2"/>
  <c r="I17" i="2"/>
  <c r="H17" i="2"/>
  <c r="G17" i="2"/>
  <c r="F17" i="2"/>
  <c r="J16" i="2"/>
  <c r="I16" i="2"/>
  <c r="H16" i="2"/>
  <c r="G16" i="2"/>
  <c r="F16" i="2"/>
  <c r="J15" i="2"/>
  <c r="I15" i="2"/>
  <c r="H15" i="2"/>
  <c r="G15" i="2"/>
  <c r="F15" i="2"/>
  <c r="J14" i="2"/>
  <c r="I14" i="2"/>
  <c r="H14" i="2"/>
  <c r="G14" i="2"/>
  <c r="F14" i="2"/>
  <c r="J13" i="2"/>
  <c r="I13" i="2"/>
  <c r="H13" i="2"/>
  <c r="G13" i="2"/>
  <c r="F13" i="2"/>
  <c r="J12" i="2"/>
  <c r="I12" i="2"/>
  <c r="H12" i="2"/>
  <c r="G12" i="2"/>
  <c r="F12" i="2"/>
  <c r="J11" i="2"/>
  <c r="I11" i="2"/>
  <c r="H11" i="2"/>
  <c r="G11" i="2"/>
  <c r="F11" i="2"/>
  <c r="J10" i="2"/>
  <c r="I10" i="2"/>
  <c r="H10" i="2"/>
  <c r="G10" i="2"/>
  <c r="F10" i="2"/>
  <c r="J9" i="2"/>
  <c r="I9" i="2"/>
  <c r="H9" i="2"/>
  <c r="G9" i="2"/>
  <c r="F9" i="2"/>
  <c r="J8" i="2"/>
  <c r="I8" i="2"/>
  <c r="H8" i="2"/>
  <c r="G8" i="2"/>
  <c r="F8" i="2"/>
  <c r="J7" i="2"/>
  <c r="I7" i="2"/>
  <c r="H7" i="2"/>
  <c r="G7" i="2"/>
  <c r="F7" i="2"/>
  <c r="J6" i="2"/>
  <c r="I6" i="2"/>
  <c r="H6" i="2"/>
  <c r="G6" i="2"/>
  <c r="F6" i="2"/>
  <c r="J5" i="2"/>
  <c r="J24" i="2" s="1"/>
  <c r="I5" i="2"/>
  <c r="I24" i="2" s="1"/>
  <c r="H5" i="2"/>
  <c r="H24" i="2" s="1"/>
  <c r="G5" i="2"/>
  <c r="G24" i="2" s="1"/>
  <c r="F5" i="2"/>
  <c r="F24" i="2" s="1"/>
  <c r="C23" i="1"/>
  <c r="C22" i="1"/>
  <c r="C21" i="1"/>
  <c r="C20" i="1"/>
  <c r="B4" i="5" s="1"/>
  <c r="C19" i="1"/>
  <c r="D22" i="1" l="1"/>
  <c r="D20" i="1"/>
  <c r="D19" i="1"/>
  <c r="D23" i="1"/>
  <c r="D21" i="1"/>
</calcChain>
</file>

<file path=xl/sharedStrings.xml><?xml version="1.0" encoding="utf-8"?>
<sst xmlns="http://schemas.openxmlformats.org/spreadsheetml/2006/main" count="1222" uniqueCount="547">
  <si>
    <t>User Acceptance Test (UAT) — ICC ERP: General Ledger</t>
  </si>
  <si>
    <t>GL-R1 ผังบัญชีร่วม · GL-R2 Source/Category/Voucher · GL-R3 Journal · GL-R4 หลายสกุลเงิน</t>
  </si>
  <si>
    <t>โครงการ</t>
  </si>
  <si>
    <t>ICC ERP Phase 1 (ICC Oracle R12 revision)</t>
  </si>
  <si>
    <t>โมดูล</t>
  </si>
  <si>
    <t>General Ledger (GL)</t>
  </si>
  <si>
    <t>Branch / Build</t>
  </si>
  <si>
    <t>gl-icc-r12-revision</t>
  </si>
  <si>
    <t>สภาพแวดล้อมทดสอบ</t>
  </si>
  <si>
    <t>http://localhost:5173 (ฐานข้อมูลทดสอบ icc_erp)</t>
  </si>
  <si>
    <t>ที่มาของ Scenario</t>
  </si>
  <si>
    <t>e2e tests: accounts, journals, currencies (apps/api/test)</t>
  </si>
  <si>
    <t>ข้อมูลทดสอบ</t>
  </si>
  <si>
    <t>ข้อมูลสังเคราะห์เท่านั้น ไม่ใช่ข้อมูลหรืออัตราจริง (P08)</t>
  </si>
  <si>
    <t>เวอร์ชันเอกสาร</t>
  </si>
  <si>
    <t>1.0</t>
  </si>
  <si>
    <t>วันที่จัดทำ</t>
  </si>
  <si>
    <t>ผู้ทดสอบหลัก</t>
  </si>
  <si>
    <t/>
  </si>
  <si>
    <t>ช่วงทดสอบ</t>
  </si>
  <si>
    <t>สรุปผลการทดสอบ</t>
  </si>
  <si>
    <t>สถานะ</t>
  </si>
  <si>
    <t>จำนวน</t>
  </si>
  <si>
    <t>ร้อยละ</t>
  </si>
  <si>
    <t>Not Run</t>
  </si>
  <si>
    <t>Pass</t>
  </si>
  <si>
    <t>Fail</t>
  </si>
  <si>
    <t>Blocked</t>
  </si>
  <si>
    <t>รวม Test Case</t>
  </si>
  <si>
    <t>วิธีใช้เอกสาร</t>
  </si>
  <si>
    <t>1. ช่องสีเหลือง = ช่องที่ผู้ทดสอบกรอก (ผลจริง, สถานะ, ผู้ทดสอบ, วันที่ทดสอบ, Defect, หมายเหตุ)</t>
  </si>
  <si>
    <t>2. สถานะเลือกจากรายการ: Not Run / Pass / Fail / Blocked — สรุปผลในหน้านี้และหน้า Scenarios คำนวณอัตโนมัติ</t>
  </si>
  <si>
    <t>3. แถว EX-01 ในหน้า Test Cases เป็นตัวอย่างการกรอก ไม่นับในสรุปผล</t>
  </si>
  <si>
    <t>4. Pre-condition อ้างถึงชุดข้อมูลในหน้า Test Data (TD-xx); วันที่ใช้รูปแบบ dd/mm/yyyy ปี ค.ศ.</t>
  </si>
  <si>
    <t>5. เมื่อผลเป็น Fail ให้บันทึกเลข Defect และแนบภาพหน้าจอ แล้วทดสอบซ้ำหลังแก้ไข</t>
  </si>
  <si>
    <t>Test Scenarios — GL-R1 ถึง GL-R4</t>
  </si>
  <si>
    <t>จำนวนและผลนับจากหน้า Test Cases อัตโนมัติ</t>
  </si>
  <si>
    <t>Scenario ID</t>
  </si>
  <si>
    <t>รอบ</t>
  </si>
  <si>
    <t>Scenario</t>
  </si>
  <si>
    <t>หน้าจอ</t>
  </si>
  <si>
    <t>Priority</t>
  </si>
  <si>
    <t>Test Case</t>
  </si>
  <si>
    <t>SC-01</t>
  </si>
  <si>
    <t>GL-R1</t>
  </si>
  <si>
    <t>ผังบัญชีร่วม ICC/ITK แยกด้วยค่า Company</t>
  </si>
  <si>
    <t>S05 /settings/accounts</t>
  </si>
  <si>
    <t>High</t>
  </si>
  <si>
    <t>SC-02</t>
  </si>
  <si>
    <t>ค่า Segment และคุณสมบัติ (นำเข้าซ้ำได้, ผิดแล้วไม่บันทึกทั้งชุด)</t>
  </si>
  <si>
    <t>SC-03</t>
  </si>
  <si>
    <t>สร้างบัญชี (Account combination) และ Cross-validation</t>
  </si>
  <si>
    <t>S05 แท็บ บัญชี (Combination)</t>
  </si>
  <si>
    <t>SC-04</t>
  </si>
  <si>
    <t>ตรวจบัญชีตอนลงบัญชี (บริษัทอื่น / ปิดใช้งาน / หมดอายุ)</t>
  </si>
  <si>
    <t>G03 /gl/journals</t>
  </si>
  <si>
    <t>SC-05</t>
  </si>
  <si>
    <t>ลำดับชั้นบัญชี (Parent / Child)</t>
  </si>
  <si>
    <t>Medium</t>
  </si>
  <si>
    <t>SC-06</t>
  </si>
  <si>
    <t>ขอเปิดบัญชีใหม่ผ่านการอนุมัติ (GL-101)</t>
  </si>
  <si>
    <t>GL-101 /gl/account-requests, H02 /approvals</t>
  </si>
  <si>
    <t>SC-07</t>
  </si>
  <si>
    <t>โครงสร้าง ICC 8 segment (57 หลัก) และค่าเริ่มต้น</t>
  </si>
  <si>
    <t>SC-08</t>
  </si>
  <si>
    <t>สิทธิ์ดูแลผังบัญชี (System Admin เท่านั้น)</t>
  </si>
  <si>
    <t>SC-09</t>
  </si>
  <si>
    <t>GL-R3</t>
  </si>
  <si>
    <t>บันทึก Journal และตรวจตอน Complete</t>
  </si>
  <si>
    <t>SC-10</t>
  </si>
  <si>
    <t>Journal กับสถานะงวดบัญชี</t>
  </si>
  <si>
    <t>G03 /gl/journals, S04 /gl/periods</t>
  </si>
  <si>
    <t>SC-11</t>
  </si>
  <si>
    <t>วงจร Journal: อนุมัติ, Post โดยผู้ตรวจสอบ, ห้ามแก้หลัง Post</t>
  </si>
  <si>
    <t>G03 /gl/journals, H02 /approvals</t>
  </si>
  <si>
    <t>SC-12</t>
  </si>
  <si>
    <t>GL-R2</t>
  </si>
  <si>
    <t>กลับรายการ (Reversal / AutoReverse)</t>
  </si>
  <si>
    <t>G05 /gl/journals?status=posted</t>
  </si>
  <si>
    <t>SC-13</t>
  </si>
  <si>
    <t>Journal Source / Category และเลข Voucher ICC (P29)</t>
  </si>
  <si>
    <t>S06 /settings/journal-setup, S04 /settings/numbering</t>
  </si>
  <si>
    <t>SC-14</t>
  </si>
  <si>
    <t>ค้นหา, คัดลอก (AutoCopy) และพิมพ์ Journal Voucher</t>
  </si>
  <si>
    <t>SC-15</t>
  </si>
  <si>
    <t>แยก ICC/ITK, งบทดลอง และ Account Inquiry</t>
  </si>
  <si>
    <t>CL04 /gl/trial-balance, GL-AI /gl/account-inquiry</t>
  </si>
  <si>
    <t>SC-16</t>
  </si>
  <si>
    <t>GL-R4</t>
  </si>
  <si>
    <t>เปิดใช้สกุลเงินผ่านการอนุมัติ</t>
  </si>
  <si>
    <t>GL-R4 /gl/currencies</t>
  </si>
  <si>
    <t>SC-17</t>
  </si>
  <si>
    <t>อัตราแลกเปลี่ยนรายวัน (คีย์เอง / นำเข้า Excel / ธนาคารจำลอง)</t>
  </si>
  <si>
    <t>SC-18</t>
  </si>
  <si>
    <t>Journal สกุลเงินต่างประเทศ แปลงเป็นบาทและปัดเศษ</t>
  </si>
  <si>
    <t>SC-19</t>
  </si>
  <si>
    <t>ปรับมูลค่าปลายงวด (Revaluation) และกลับรายการต้นงวดถัดไป</t>
  </si>
  <si>
    <t>GL-R4 /gl/currencies, CL04 /gl/trial-balance</t>
  </si>
  <si>
    <t>รวม</t>
  </si>
  <si>
    <t>Test Cases — GL-R1 ถึง GL-R4</t>
  </si>
  <si>
    <t>ช่องสีเหลืองให้ผู้ทดสอบกรอก · สถานะเลือกจากรายการ · แถว EX-01 เป็นตัวอย่าง ไม่นับในสรุป</t>
  </si>
  <si>
    <t>TC ID</t>
  </si>
  <si>
    <t>Pre-condition</t>
  </si>
  <si>
    <t>ขั้นตอนการทดสอบ</t>
  </si>
  <si>
    <t>ผลที่คาดหวัง</t>
  </si>
  <si>
    <t>ผลที่ได้จริง</t>
  </si>
  <si>
    <t>ผู้ทดสอบ</t>
  </si>
  <si>
    <t>วันที่ทดสอบ</t>
  </si>
  <si>
    <t>Defect ID</t>
  </si>
  <si>
    <t>ทดสอบซ้ำ</t>
  </si>
  <si>
    <t>หมายเหตุ</t>
  </si>
  <si>
    <t>EX-01</t>
  </si>
  <si>
    <t>SC-00</t>
  </si>
  <si>
    <t>ตัวอย่างการกรอก</t>
  </si>
  <si>
    <t>ล็อกอินแล้ว</t>
  </si>
  <si>
    <t>1. เปิดหน้าจอ
2. กดปุ่ม</t>
  </si>
  <si>
    <t>ค่าทดสอบ</t>
  </si>
  <si>
    <t>ระบบแสดงผลตามที่กำหนด</t>
  </si>
  <si>
    <t>แสดงผลถูกต้องตามที่คาด</t>
  </si>
  <si>
    <t>สมชาย ท.</t>
  </si>
  <si>
    <t>แนบภาพหน้าจอ EX-01.png</t>
  </si>
  <si>
    <t>TC-01-01</t>
  </si>
  <si>
    <t>ผูก ICC และ ITK กับผังบัญชีเดียวกัน คนละค่า Company</t>
  </si>
  <si>
    <t>ล็อกอินเป็น System Admin; มีบริษัท ICC และ ITK</t>
  </si>
  <si>
    <t>1. เปิด S05 เลือกบริษัท ICC
2. สร้างผังบัญชี ICC_AFF ตามโครงสร้าง TD-01 ผูก ICC ค่า Company = 10
3. เพิ่มบริษัท ITK เข้าผังเดียวกัน ค่า Company = 20
4. สลับบริษัทเป็น ITK แล้วดูแท็บผังบัญชี</t>
  </si>
  <si>
    <t>ผัง ICC_AFF, segment CO/CC/ACC, ICC=10, ITK=20</t>
  </si>
  <si>
    <t>ทั้ง ICC และ ITK เห็นผัง ICC_AFF ผังเดียวกัน แสดง "ใช้ร่วม: ICC = 10, ITK = 20" และ segment เรียง CO, CC, ACC</t>
  </si>
  <si>
    <t>TC-01-02</t>
  </si>
  <si>
    <t>ค่า Company ซ้ำกับบริษัทอื่นในผังเดียวกัน</t>
  </si>
  <si>
    <t>ทำ TC-01-01 แล้ว; มีบริษัทที่สาม ZZ</t>
  </si>
  <si>
    <t>1. เพิ่มบริษัท ZZ เข้าผัง ICC_AFF ด้วยค่า Company = 20</t>
  </si>
  <si>
    <t>ZZ = 20</t>
  </si>
  <si>
    <t>ระบบไม่ยอม แจ้งว่าค่า Company ถูกใช้แล้ว (COMPANY_VALUE_TAKEN)</t>
  </si>
  <si>
    <t>TC-01-03</t>
  </si>
  <si>
    <t>บริษัทที่มีผังแล้วสร้างผังใหม่ไม่ได้</t>
  </si>
  <si>
    <t>ทำ TC-01-01 แล้ว</t>
  </si>
  <si>
    <t>1. สร้างผังใหม่รหัส OTHER ผูก ICC ค่า Company = 10</t>
  </si>
  <si>
    <t>ผัง OTHER</t>
  </si>
  <si>
    <t>ระบบไม่ยอม แจ้งว่าบริษัทมีผังบัญชีแล้ว (COMPANY_HAS_CHART)</t>
  </si>
  <si>
    <t>TC-01-04</t>
  </si>
  <si>
    <t>ผังต้องมี segment ป้าย Natural account</t>
  </si>
  <si>
    <t>ล็อกอินเป็น System Admin</t>
  </si>
  <si>
    <t>1. สร้างผังใหม่ ใส่เฉพาะ segment CO และ CC (ไม่มีป้าย Natural account)
2. กดบันทึก</t>
  </si>
  <si>
    <t>ผัง ZZ</t>
  </si>
  <si>
    <t>ระบบไม่ยอม แจ้งที่ช่อง Segment ว่าต้องมีป้าย Natural account</t>
  </si>
  <si>
    <t>TC-02-01</t>
  </si>
  <si>
    <t>บันทึกค่าเดิมซ้ำ นับเฉพาะที่เปลี่ยน</t>
  </si>
  <si>
    <t>ทำ TC-01-01 แล้ว และเพิ่มค่าตาม TD-01</t>
  </si>
  <si>
    <t>1. บันทึกค่า 110100 (ไม่เปลี่ยน) และ 410100 โดยเปลี่ยนคำอธิบายเป็น "รายได้จากการขาย"</t>
  </si>
  <si>
    <t>110100 เงินสด, 410100 รายได้จากการขาย</t>
  </si>
  <si>
    <t>ผลลัพธ์: สร้างใหม่ 0, แก้ไข 1, ไม่เปลี่ยน 1</t>
  </si>
  <si>
    <t>TC-02-02</t>
  </si>
  <si>
    <t>ชุดค่าที่มีข้อผิดพลาด ไม่บันทึกเลยแม้แต่ค่าที่ถูก</t>
  </si>
  <si>
    <t>1. บันทึกค่าพร้อมกัน 6 รายการตามข้อมูลทดสอบ
2. ดูรายการค่าของ ACC</t>
  </si>
  <si>
    <t>510100 ต้นทุนขาย (ถูก)
1234567 (ยาว 7 เกิน 6)
segment NOPE (ไม่มี)
999999 ไม่ระบุประเภทบัญชี
500000 หัวรวมแต่อนุญาตลงบัญชี
510200 วันสิ้นสุด 01/01/2027 ก่อนวันเริ่ม 01/02/2027</t>
  </si>
  <si>
    <t>ระบบไม่บันทึกทั้งชุด แจ้งข้อผิดพลาดรายแถว: แถว 2 ค่า, แถว 3 segment, แถว 4 ประเภทบัญชี, แถว 5 อนุญาตลงบัญชี, แถว 6 วันสิ้นสุด; 510100 ไม่ถูกเพิ่ม</t>
  </si>
  <si>
    <t>TC-02-03</t>
  </si>
  <si>
    <t>คุณสมบัติของค่าบัญชีแสดงครบ</t>
  </si>
  <si>
    <t>1. ดูรายการค่าของ segment ACC</t>
  </si>
  <si>
    <t>110100 Cash (กระทบยอด), 410100 attribute monthly_income = DIV-IN</t>
  </si>
  <si>
    <t>110100 แสดงชื่ออังกฤษ Cash, กระทบยอด = ใช่, ตั้งงบได้, ไม่ใช่หัวรวม, ลงบัญชีได้; 410100 แสดง attribute monthly_income = DIV-IN</t>
  </si>
  <si>
    <t>TC-03-01</t>
  </si>
  <si>
    <t>สร้างบัญชีของบริษัทตัวเอง และกันบัญชีซ้ำ</t>
  </si>
  <si>
    <t>1. แท็บ บัญชี (Combination) บริษัท ICC กด + สร้างบัญชี
2. ใส่ 10-100-410100 กดสร้าง
3. สร้าง 10-100-410100 ซ้ำอีกครั้ง</t>
  </si>
  <si>
    <t>10-100-410100</t>
  </si>
  <si>
    <t>ครั้งแรกสร้างได้ ครั้งที่สองระบบแจ้งว่ามีบัญชีนี้แล้ว</t>
  </si>
  <si>
    <t>TC-03-02</t>
  </si>
  <si>
    <t>ใช้ค่า Company ของบริษัทอื่นไม่ได้</t>
  </si>
  <si>
    <t>1. บริษัท ICC สร้าง 20-100-410100
2. สลับเป็น ITK สร้าง 20-100-410100</t>
  </si>
  <si>
    <t>20-100-410100</t>
  </si>
  <si>
    <t>ICC: แจ้งว่าค่า Company ไม่ตรงกับบริษัท; ITK: สร้างได้ (ใช้ natural account เดียวกัน)</t>
  </si>
  <si>
    <t>TC-03-03</t>
  </si>
  <si>
    <t>ค่าที่ไม่มีในผัง หรือ segment ไม่ครบ</t>
  </si>
  <si>
    <t>1. สร้าง 10-100-999999
2. สร้าง 10-100</t>
  </si>
  <si>
    <t>10-100-999999, 10-100</t>
  </si>
  <si>
    <t>ทั้งสองกรณีระบบไม่ยอม: ค่า 999999 ไม่มีในผัง / segment ไม่ครบ</t>
  </si>
  <si>
    <t>TC-03-04</t>
  </si>
  <si>
    <t>ค่าที่ปิดใช้งานสร้างบัญชีไม่ได้</t>
  </si>
  <si>
    <t>1. ปิดใช้งานค่า CC = 000
2. สร้าง 10-000-110100</t>
  </si>
  <si>
    <t>CC 000 ปิดใช้งาน</t>
  </si>
  <si>
    <t>ระบบแจ้งว่าค่านี้ปิดใช้งาน</t>
  </si>
  <si>
    <t>TC-03-05</t>
  </si>
  <si>
    <t>กฎ Cross-validation</t>
  </si>
  <si>
    <t>ทำ TC-01-01 แล้ว; เพิ่มค่า CC 200 ผลิต</t>
  </si>
  <si>
    <t>1. กด + กฎ Cross-validation: ถ้า ACC = 410100 ต้องใช้ CC = 100
2. สร้าง 10-200-410100
3. สร้าง 10-200-110100</t>
  </si>
  <si>
    <t>ข้อความ: "บัญชีรายได้ต้องใช้ศูนย์ต้นทุนฝ่ายขาย"</t>
  </si>
  <si>
    <t>ข้อ 2 ไม่ยอม แสดงข้อความ "บัญชีรายได้ต้องใช้ศูนย์ต้นทุนฝ่ายขาย"; ข้อ 3 สร้างได้</t>
  </si>
  <si>
    <t>TC-04-01</t>
  </si>
  <si>
    <t>ใช้บัญชีของบริษัทอื่นใน Journal ไม่ได้</t>
  </si>
  <si>
    <t>มีบัญชี 10-100-110100 ของ ICC; ผู้ใช้ ITK</t>
  </si>
  <si>
    <t>1. ล็อกอินบริษัท ITK สร้าง Journal เลือกบัญชีของ ICC
2. กด Complete</t>
  </si>
  <si>
    <t>10-100-110100</t>
  </si>
  <si>
    <t>ระบบแจ้งที่บรรทัดนั้นว่าเป็นบัญชีของบริษัทอื่น</t>
  </si>
  <si>
    <t>TC-04-02</t>
  </si>
  <si>
    <t>ค่าที่มีวันสิ้นสุด ใช้ได้ถึงวันนั้นเท่านั้น</t>
  </si>
  <si>
    <t>ค่า CC 100 มีผลถึง 31/01/2027</t>
  </si>
  <si>
    <t>1. Journal วันที่ 31/01/2027 ใช้ 10-100-110100 กด Complete
2. Journal วันที่ 01/02/2027 ใช้บัญชีเดียวกัน กด Complete</t>
  </si>
  <si>
    <t>effective_to = 31/01/2027</t>
  </si>
  <si>
    <t>ข้อ 1 ผ่าน; ข้อ 2 แจ้งว่าค่าไม่มีผลในวันที่ลงบัญชี</t>
  </si>
  <si>
    <t>TC-04-03</t>
  </si>
  <si>
    <t>ปิดค่าที่ใช้ร่วม หยุดทั้งสองบริษัท</t>
  </si>
  <si>
    <t>ค่า ACC 110100 ใช้ร่วม ICC/ITK</t>
  </si>
  <si>
    <t>1. ปิดใช้งานค่า ACC 110100
2. Journal ICC ใช้ 10-100-110100 กด Complete</t>
  </si>
  <si>
    <t>ACC 110100 ปิด</t>
  </si>
  <si>
    <t>แจ้งว่าค่าไม่มีผล (ทั้ง ICC และ ITK ใช้ไม่ได้)</t>
  </si>
  <si>
    <t>TC-04-04</t>
  </si>
  <si>
    <t>ปิดใช้งานบัญชี (Combination)</t>
  </si>
  <si>
    <t>เปิดค่า 110100 กลับแล้ว</t>
  </si>
  <si>
    <t>1. แท็บ Combination กด ปิดใช้งาน ที่ 10-100-110100
2. Journal ใช้บัญชีนี้ กด Complete</t>
  </si>
  <si>
    <t>10-100-110100 ปิด</t>
  </si>
  <si>
    <t>แจ้งว่าบัญชีปิดใช้งาน</t>
  </si>
  <si>
    <t>TC-05-01</t>
  </si>
  <si>
    <t>กำหนดช่วงลูกให้หัวรวม แล้วดูต้นไม้</t>
  </si>
  <si>
    <t>เพิ่มค่าหัวรวม 100000, 110000 และค่า 110200</t>
  </si>
  <si>
    <t>1. หัวรวม 110000: ช่วงลูก 110100–110199, 110200–110299
2. หัวรวม 100000: ช่วงหัวรวม 110000–119999
3. ดูลำดับชั้นของ 100000</t>
  </si>
  <si>
    <t>100000 สินทรัพย์ › 110000 เงินสดฯ › 110100, 110200</t>
  </si>
  <si>
    <t>100000 มีลูกเป็นหัวรวม 110000 และบัญชีปลายทาง 110100, 110200</t>
  </si>
  <si>
    <t>TC-05-02</t>
  </si>
  <si>
    <t>กันวงวน และกันการตั้งลูกให้ค่าที่ไม่ใช่หัวรวม</t>
  </si>
  <si>
    <t>ทำ TC-05-01 แล้ว</t>
  </si>
  <si>
    <t>1. หัวรวม 110000 ใส่ช่วงหัวรวม 100000–100000
2. ค่า 110100 ใส่ช่วงลูก 110200</t>
  </si>
  <si>
    <t>ข้อ 1 แจ้งว่าเกิดวงวนในลำดับชั้น; ข้อ 2 แจ้งว่า 110100 ไม่ใช่หัวรวม</t>
  </si>
  <si>
    <t>TC-06-01</t>
  </si>
  <si>
    <t>คำขอเปิดบัญชีต้องระบุประเภทบัญชี</t>
  </si>
  <si>
    <t>Workflow GL_ACCOUNT_REQUEST 1 ขั้น (gl_accountant); ผู้ขอ gl.clerk และผู้อนุมัติ gl.manager มีสิทธิ์ gl_accountant ของ ICC</t>
  </si>
  <si>
    <t>1. ล็อกอิน gl.clerk เปิด GL-101 สร้างคำขอ ACC 520100 ไม่เลือกประเภทบัญชี</t>
  </si>
  <si>
    <t>เหตุผล: เปิดบัญชีค่าโฆษณาออนไลน์</t>
  </si>
  <si>
    <t>แจ้งที่ช่องประเภทบัญชีของแถวแรก</t>
  </si>
  <si>
    <t>TC-06-02</t>
  </si>
  <si>
    <t>ส่งคำขอ ผังยังไม่เปลี่ยนจนกว่าจะอนุมัติ</t>
  </si>
  <si>
    <t>ต่อจาก TC-06-01</t>
  </si>
  <si>
    <t>1. เลือกประเภท = ค่าใช้จ่าย แล้วส่งคำขอ
2. ดูค่าของ ACC ใน S05</t>
  </si>
  <si>
    <t>520100 ค่าโฆษณาออนไลน์ (expense)</t>
  </si>
  <si>
    <t>คำขอสถานะ รออนุมัติ; ค่าของ ACC ยังมีแค่ 110100, 410100</t>
  </si>
  <si>
    <t>TC-06-03</t>
  </si>
  <si>
    <t>ผู้ขออนุมัติคำขอของตัวเองไม่ได้ (D07)</t>
  </si>
  <si>
    <t>ต่อจาก TC-06-02</t>
  </si>
  <si>
    <t>1. gl.clerk เปิด H02 Approval Inbox กดอนุมัติคำขอของตัวเอง</t>
  </si>
  <si>
    <t>ระบบไม่ยอม (ห้ามอนุมัติเอกสารของตัวเอง)</t>
  </si>
  <si>
    <t>TC-06-04</t>
  </si>
  <si>
    <t>ผู้จัดการอนุมัติ ค่าใหม่เข้าผัง</t>
  </si>
  <si>
    <t>ต่อจาก TC-06-03</t>
  </si>
  <si>
    <t>1. ล็อกอิน gl.manager อนุมัติใน H02
2. gl.clerk เปิดคำขอใน GL-101
3. ดูค่าของ ACC ใน S05</t>
  </si>
  <si>
    <t>คำขอสถานะ ใช้แล้ว (สร้าง 1); ค่าของ ACC เป็น 110100, 410100, 520100</t>
  </si>
  <si>
    <t>TC-07-01</t>
  </si>
  <si>
    <t>ค่าเริ่มต้นยาวเกินความยาว segment</t>
  </si>
  <si>
    <t>ล็อกอินเป็น System Admin; บริษัท ICC ยังไม่มีผัง</t>
  </si>
  <si>
    <t>1. สร้างผัง กดปุ่ม "ใช้โครงสร้าง ICC 8 segment (57 หลัก)"
2. แก้ค่าเริ่มต้น RES1 เป็น 0000
3. กดบันทึก</t>
  </si>
  <si>
    <t>RES1 default = 0000 (ยาว 3)</t>
  </si>
  <si>
    <t>แจ้งที่ค่าเริ่มต้นของ RES1 ว่ายาวเกิน</t>
  </si>
  <si>
    <t>TC-07-02</t>
  </si>
  <si>
    <t>สร้างผัง ICC 8 segment 57 หลัก</t>
  </si>
  <si>
    <t>ต่อจาก TC-07-01</t>
  </si>
  <si>
    <t>1. แก้ RES1 กลับเป็น 000, ใส่ค่าเริ่มต้น PROD = 0
2. ผูก ICC ค่า Company = ICC แล้วบันทึก
3. ดูตาราง segment</t>
  </si>
  <si>
    <t>TD-02</t>
  </si>
  <si>
    <t>ผังมี 8 segment: CO 4, DEPT 6, ACC 9, PROD 25, IC 4, RES1–3 อย่างละ 3 รวม 57 หลัก; ค่าเริ่มต้น PROD=0, IC=0000, RES1–3=000</t>
  </si>
  <si>
    <t>TC-07-03</t>
  </si>
  <si>
    <t>ค่า Product มีเว้นวรรคได้ แต่ห้ามอักขระพิเศษ</t>
  </si>
  <si>
    <t>ต่อจาก TC-07-02 และเพิ่มค่าตาม TD-02</t>
  </si>
  <si>
    <t>1. เพิ่มค่า PROD "TEST BRAND A"
2. เพิ่มค่า PROD " LEADING" (มีช่องว่างหน้า)
3. เพิ่มค่า PROD "A-B"</t>
  </si>
  <si>
    <t>TEST BRAND A, " LEADING", A-B</t>
  </si>
  <si>
    <t>ข้อ 1 บันทึกได้ (คงช่องว่างด้านใน); ข้อ 2 บันทึกเป็น "LEADING"; ข้อ 3 ไม่ยอมที่ช่องค่า</t>
  </si>
  <si>
    <t>TC-07-04</t>
  </si>
  <si>
    <t>เว้น segment ที่มีค่าเริ่มต้น ระบบเติมให้</t>
  </si>
  <si>
    <t>ต่อจาก TC-07-03</t>
  </si>
  <si>
    <t>1. สร้างบัญชี ICC-T00001-900000001-TEST BRAND A----
2. สร้างบัญชี ICC-T00001-900000001-----
3. สร้างบัญชี ICC--900000001----- (เว้น DEPT)</t>
  </si>
  <si>
    <t>ข้อ 1 ได้ ICC-T00001-900000001-TEST BRAND A-0000-000-000-000; ข้อ 2 ได้ (PROD = 0); ข้อ 3 แจ้งว่าต้องระบุ segment (DEPT ไม่มีค่าเริ่มต้น)</t>
  </si>
  <si>
    <t>TC-08-01</t>
  </si>
  <si>
    <t>ผู้ใช้ทั่วไปแก้ผังบัญชีไม่ได้</t>
  </si>
  <si>
    <t>ผู้ใช้ clerk ไม่ใช่ System Admin</t>
  </si>
  <si>
    <t>1. ล็อกอิน clerk เปิด S05 ลองสร้างผัง และสร้างบัญชี 10-100-110100</t>
  </si>
  <si>
    <t>ระบบไม่ให้เข้า/ไม่ยอมทำรายการ (ไม่มีสิทธิ์)</t>
  </si>
  <si>
    <t>TC-09-01</t>
  </si>
  <si>
    <t>บันทึกร่างที่ยังไม่สมดุลได้ แต่ Complete ไม่ได้</t>
  </si>
  <si>
    <t>ICC มีผังทดสอบ (TD-01), ปฏิทิน FY2027 เปิดงวด ม.ค.–ก.พ. 2027, กฎเลข JV{FY2}-{SEQ:6}, Workflow GL_JOURNAL 1 ขั้น (gl_accountant); ล็อกอินเป็น ผู้จัดทำ (Maker: gl_accountant)</t>
  </si>
  <si>
    <t>1. G03 กด Journal ใหม่ ประเภท ปรับปรุง วันที่ 15/01/2027
2. ใส่บรรทัดตามข้อมูล แล้วกด บันทึกร่าง
3. กด Complete</t>
  </si>
  <si>
    <t>บรรทัด 1: 10-5100 Dr 100.00
บรรทัด 2: 10-1100 Dr 50.00 Cr 40.00
บรรทัด 3: 10-1100 Cr 50.00</t>
  </si>
  <si>
    <t>บันทึกร่างได้ สถานะ Incomplete ยังไม่มีเลข ยอด Dr 150.00 / Cr 90.00; Complete แจ้งบรรทัด 2 ใส่ทั้งสองฝั่ง และ Journal ไม่สมดุล</t>
  </si>
  <si>
    <t>TC-09-02</t>
  </si>
  <si>
    <t>บัญชีหัวรวม / ปิดใช้งาน / บริษัทอื่น แจ้งรายบรรทัด</t>
  </si>
  <si>
    <t>ต่อจาก TC-09-01; ITK มีผังและบัญชีของตัวเอง</t>
  </si>
  <si>
    <t>1. สร้าง Journal ใหม่ตามข้อมูล
2. กด Complete</t>
  </si>
  <si>
    <t>บรรทัด 1: 10-5000 (หัวรวม) Dr 10
บรรทัด 2: 10-5900 (ปิดใช้งาน) Dr 10
บรรทัด 3: 20-5100 (ITK) Dr 10
บรรทัด 4: 10-1100 Cr 30</t>
  </si>
  <si>
    <t>แจ้ง บรรทัด 1 บัญชีหัวรวม, บรรทัด 2 บัญชีปิดใช้งาน, บรรทัด 3 บัญชีบริษัทอื่น</t>
  </si>
  <si>
    <t>TC-09-03</t>
  </si>
  <si>
    <t>ตรวจ Control Total</t>
  </si>
  <si>
    <t>ต่อจาก TC-09-01</t>
  </si>
  <si>
    <t>1. สร้าง Journal ใส่ Control Total 100.00 และบรรทัดยอด 90.00
2. กด Complete</t>
  </si>
  <si>
    <t>Control Total 100.00; 10-5100 Dr 90 / 10-1100 Cr 90</t>
  </si>
  <si>
    <t>แจ้งที่ช่อง Control Total ว่ายอดไม่ตรง</t>
  </si>
  <si>
    <t>TC-10-01</t>
  </si>
  <si>
    <t>งวด Future entry: Complete ได้ แต่ Post ไม่ได้</t>
  </si>
  <si>
    <t>ICC มีผังทดสอบ (TD-01), ปฏิทิน FY2027 เปิดงวด ม.ค.–ก.พ. 2027, กฎเลข JV{FY2}-{SEQ:6}, Workflow GL_JOURNAL 1 ขั้น (gl_accountant); มี.ค. 2027 = Future entry</t>
  </si>
  <si>
    <t>1. สร้าง Journal วันที่ 10/03/2027 กด Complete
2. Submit และให้ผู้จัดการอนุมัติ
3. ผู้จัดการกด Post</t>
  </si>
  <si>
    <t>10-5100 Dr 10 / 10-1100 Cr 10</t>
  </si>
  <si>
    <t>Complete ได้เลข JV27-000001; Post แจ้งว่างวดยังไม่เปิด</t>
  </si>
  <si>
    <t>TC-10-02</t>
  </si>
  <si>
    <t>งวดที่ยังไม่เปิด Complete ไม่ได้</t>
  </si>
  <si>
    <t>เม.ย. 2027 ยังไม่เปิด</t>
  </si>
  <si>
    <t>1. สร้าง Journal วันที่ 01/04/2027 กด Complete</t>
  </si>
  <si>
    <t>แจ้งว่างวดยังไม่เปิด</t>
  </si>
  <si>
    <t>TC-11-01</t>
  </si>
  <si>
    <t>Complete ได้เลข Journal</t>
  </si>
  <si>
    <t>1. สร้าง Journal 15/01/2027 กด Complete</t>
  </si>
  <si>
    <t>10-5100 Dr 1,234.50 / 10-1100 Cr 1,234.50</t>
  </si>
  <si>
    <t>สถานะ Unposted เลข JV27-000001</t>
  </si>
  <si>
    <t>TC-11-02</t>
  </si>
  <si>
    <t>Post ก่อนอนุมัติไม่ได้ (P17)</t>
  </si>
  <si>
    <t>ต่อจาก TC-11-01</t>
  </si>
  <si>
    <t>1. ล็อกอินเป็น ผู้จัดการ (Manager: gl_accountant + gl_reviewer) กด Post</t>
  </si>
  <si>
    <t>แจ้งว่า Journal ยังไม่พร้อม Post</t>
  </si>
  <si>
    <t>TC-11-03</t>
  </si>
  <si>
    <t>ผู้จัดทำอนุมัติเองไม่ได้</t>
  </si>
  <si>
    <t>ต่อจาก TC-11-02</t>
  </si>
  <si>
    <t>1. ผู้จัดทำกด Submit
2. ผู้จัดทำเปิด H02 กดอนุมัติ</t>
  </si>
  <si>
    <t>สถานะ รออนุมัติ; การอนุมัติเองถูกปฏิเสธ (SELF_APPROVAL)</t>
  </si>
  <si>
    <t>TC-11-04</t>
  </si>
  <si>
    <t>อนุมัติแล้ว Post ครั้งเดียว แม้กดซ้ำ</t>
  </si>
  <si>
    <t>ต่อจาก TC-11-03</t>
  </si>
  <si>
    <t>1. ผู้จัดการอนุมัติใน H02
2. ผู้จัดการกด Post สองครั้งติดกัน (หรือเปิดสองแท็บ)
3. เปิด CL04 งบทดลอง งวด FY2027-01</t>
  </si>
  <si>
    <t>Post สำเร็จครั้งเดียว ไม่มีรายการซ้ำ; งบทดลอง 10-1100 Cr 1,234.50 ยอด -1,234.50, 10-5100 Dr 1,234.50; รวม Dr = Cr = 1,234.50</t>
  </si>
  <si>
    <t>TC-11-05</t>
  </si>
  <si>
    <t>Journal ที่ Post แล้วแก้/ลบไม่ได้</t>
  </si>
  <si>
    <t>ต่อจาก TC-11-04</t>
  </si>
  <si>
    <t>1. เปิด Journal ที่ Post แล้ว ลองแก้คำอธิบาย
2. ลองลบ</t>
  </si>
  <si>
    <t>แก้และลบไม่ได้</t>
  </si>
  <si>
    <t>TC-11-06</t>
  </si>
  <si>
    <t>แก้หลัง Submit กลับเป็น Incomplete และยกเลิกการอนุมัติเดิม</t>
  </si>
  <si>
    <t>ICC มีผังทดสอบ (TD-01), ปฏิทิน FY2027 เปิดงวด ม.ค.–ก.พ. 2027, กฎเลข JV{FY2}-{SEQ:6}, Workflow GL_JOURNAL 1 ขั้น (gl_accountant)</t>
  </si>
  <si>
    <t>1. สร้าง Journal, Complete, Submit
2. แก้วันที่เป็น 20/01/2027 และคำอธิบาย แล้วบันทึก
3. ผู้จัดการลองอนุมัติรายการเดิมใน H02
4. ลองลบ Journal นี้
5. สร้างร่างใหม่แล้วลบ</t>
  </si>
  <si>
    <t>หลังแก้: สถานะ Incomplete เลขเดิม JV27-000001 การอนุมัติหายไป; ข้อ 3 แจ้งว่าการอนุมัติไม่อยู่ในสถานะรอ; ข้อ 4 ลบไม่ได้ (เคย Submit แล้ว); ข้อ 5 ลบร่างได้</t>
  </si>
  <si>
    <t>TC-11-07</t>
  </si>
  <si>
    <t>Post ได้เฉพาะผู้ตรวจสอบที่ไม่ใช่ผู้จัดทำ (GL-201)</t>
  </si>
  <si>
    <t>Journal อนุมัติแล้ว สถานะ พร้อม Post</t>
  </si>
  <si>
    <t>1. ผู้จัดทำ (ไม่มี gl_reviewer) กด Post
2. Admin ให้ผู้จัดทำมี gl_reviewer แล้วกด Post อีกครั้ง
3. ผู้จัดการกด Post</t>
  </si>
  <si>
    <t>ข้อ 1 ไม่มีสิทธิ์; ข้อ 2 ห้าม Post รายการที่ตัวเองจัดทำ (SELF_POST); ข้อ 3 Post สำเร็จ</t>
  </si>
  <si>
    <t>TC-12-01</t>
  </si>
  <si>
    <t>กลับรายการครั้งเดียว สลับ Dr/Cr ตามวันที่เลือก</t>
  </si>
  <si>
    <t>Journal Post แล้ว: 10-5100 Dr 300 / 10-1100 Cr 300</t>
  </si>
  <si>
    <t>1. เปิด Journal ที่ Post แล้ว กด กลับรายการ วันที่ 05/02/2027
2. กลับรายการ Journal เดิมซ้ำ วันที่ 06/02/2027
3. กลับรายการของ Journal กลับรายการ</t>
  </si>
  <si>
    <t>วันที่กลับรายการ 05/02/2027</t>
  </si>
  <si>
    <t>ได้ Journal ใหม่ Unposted เลข JV27-000002 วันที่ 05/02/2027 บรรทัด 10-5100 Cr 300, 10-1100 Dr 300; ข้อ 2 แจ้งว่ากลับรายการแล้ว; ข้อ 3 ไม่ยอม</t>
  </si>
  <si>
    <t>TC-12-02</t>
  </si>
  <si>
    <t>ประเภทค้างจ่าย (ACCRUAL) กลับรายการอัตโนมัติงวดถัดไป</t>
  </si>
  <si>
    <t>1. สร้าง Journal ประเภท 13 ค้างจ่าย/ค้างรับ วันที่ 31/01/2027 แล้ว Post
2. ดู Journal กลับรายการที่ระบบสร้าง</t>
  </si>
  <si>
    <t>10-5100 Dr 75.25 / 10-2100 Cr 75.25</t>
  </si>
  <si>
    <t>ระบบสร้าง Journal กลับรายการวันที่ 01/02/2027 สถานะ Unposted อ้างถึงรายการเดิม</t>
  </si>
  <si>
    <t>TC-12-03</t>
  </si>
  <si>
    <t>กฎประเภท: วันถัดไป, กลับเครื่องหมาย, Post อัตโนมัติ (GL-106.6)</t>
  </si>
  <si>
    <t>ICC มีผังทดสอบ (TD-01), ปฏิทิน FY2027 เปิดงวด ม.ค.–ก.พ. 2027, กฎเลข JV{FY2}-{SEQ:6}, Workflow GL_JOURNAL 1 ขั้น (gl_accountant); System Admin สร้างประเภท DAILY_ACCRUAL ใน S06</t>
  </si>
  <si>
    <t>1. S06 สร้างประเภท DAILY_ACCRUAL รหัส Voucher 13 กลับรายการอัตโนมัติ: วันถัดไป, เปลี่ยนเครื่องหมาย, Post อัตโนมัติ
2. สร้าง Journal ประเภทนี้ 15/01/2027 แล้ว Post
3. ดูรายการกลับ และงบทดลอง ม.ค.</t>
  </si>
  <si>
    <t>รายการกลับวันที่ 16/01/2027 สถานะ Posted ยอด -75.25 (10-5100 Dr -75.25, 10-2100 Cr -75.25); งบทดลอง ม.ค. ไม่มีบัญชี 10-5100</t>
  </si>
  <si>
    <t>TC-13-01</t>
  </si>
  <si>
    <t>Source บันทึกเอง (MANUAL) ต้องอนุมัติเสมอ</t>
  </si>
  <si>
    <t>1. S06 แท็บ Source ดู MANUAL และ PAYABLES
2. ปิด "ต้องอนุมัติ" ของ MANUAL</t>
  </si>
  <si>
    <t>MANUAL ต้องอนุมัติ, PAYABLES ไม่ต้อง; ข้อ 2 ไม่ยอม (P17)</t>
  </si>
  <si>
    <t>TC-13-02</t>
  </si>
  <si>
    <t>สร้าง/ปิดประเภท Journal</t>
  </si>
  <si>
    <t>1. สร้างประเภท INDIRECT ค่าใช้จ่ายทางอ้อม รหัส Voucher 16
2. สร้าง INDIRECT ซ้ำ
3. ผู้จัดทำ (ไม่ใช่ Admin) ลองสร้างประเภท
4. ปิดใช้งาน INDIRECT แล้วสร้าง Journal ประเภทนี้</t>
  </si>
  <si>
    <t>INDIRECT / Indirect charge / 16</t>
  </si>
  <si>
    <t>ข้อ 1 สร้างได้ ใช้งาน ไม่กลับรายการอัตโนมัติ; ข้อ 2 แจ้งซ้ำ; ข้อ 3 ไม่มีสิทธิ์; ข้อ 4 แจ้งว่าประเภทปิดใช้งาน</t>
  </si>
  <si>
    <t>TC-13-03</t>
  </si>
  <si>
    <t>เลข Voucher ICC {JC}{YY}{MM}{SEQ} เริ่มใหม่ทุกเดือนต่อประเภท</t>
  </si>
  <si>
    <t>ICC มีผังทดสอบ (TD-01), ปฏิทิน FY2027 เปิดงวด ม.ค.–ก.พ. 2027, กฎเลข JV{FY2}-{SEQ:6}, Workflow GL_JOURNAL 1 ขั้น (gl_accountant); S04 แก้กฎเลข GL_JOURNAL เป็น {JC}{YY}{MM}{SEQ:3} รีเซ็ตรายเดือน</t>
  </si>
  <si>
    <t>1. Complete Journal ปรับปรุง ม.ค. 2 ฉบับ
2. Complete Journal ค้างจ่าย 31/01/2027
3. Complete Journal ปรับปรุง 03/02/2027
4. Complete Journal ประเภท จัดประเภทใหม่ (ไม่มีรหัส Voucher)</t>
  </si>
  <si>
    <t>ได้เลข 112701001, 112701002, 132701001, 112702001; ข้อ 4 แจ้งว่าประเภทต้องมีรหัส Voucher</t>
  </si>
  <si>
    <t>TC-14-01</t>
  </si>
  <si>
    <t>ค้นหา Journal ตามงวด, Source, ประเภท, Batch</t>
  </si>
  <si>
    <t>Journal ม.ค. (Batch "2701 ปรับปรุงสิ้นเดือน", อ้างอิง REF-1) และ Journal ค้างจ่าย ก.พ.</t>
  </si>
  <si>
    <t>1. ค้นหางวด FY2027-01, FY2027-02
2. ค้นหาประเภท ค้างจ่าย
3. ค้นหา Source MANUAL และ PAYABLES
4. ค้นหา Batch "2701"</t>
  </si>
  <si>
    <t>ผลลัพธ์: งวด ม.ค. 1, ก.พ. 1, ค้างจ่าย 1, MANUAL 2, PAYABLES 0, Batch 2701 = 1</t>
  </si>
  <si>
    <t>TC-14-02</t>
  </si>
  <si>
    <t>คัดลอก Journal (AutoCopy)</t>
  </si>
  <si>
    <t>ต่อจาก TC-14-01</t>
  </si>
  <si>
    <t>1. เปิด Journal ม.ค. กด คัดลอก วันที่ 28/02/2027</t>
  </si>
  <si>
    <t>ได้ Journal ใหม่สถานะ Incomplete ไม่มีเลข วันที่ 28/02/2027 Source MANUAL Batch เดิม บรรทัด 10-5100 Dr 20 / 10-1100 Cr 20</t>
  </si>
  <si>
    <t>TC-14-03</t>
  </si>
  <si>
    <t>พิมพ์ Journal Voucher</t>
  </si>
  <si>
    <t>Journal Post แล้ว คำอธิบาย "ปรับปรุงค่าใช้จ่าย" 55.00</t>
  </si>
  <si>
    <t>1. เปิด Journal กด พิมพ์ Voucher</t>
  </si>
  <si>
    <t>Voucher แสดงบริษัท ICC เลข Journal สถานะ Posted ผู้จัดทำ icc.maker ผู้อนุมัติ/ผู้ Post icc.manager ประเภท ปรับปรุง Source บันทึกเอง และชื่อบัญชี "ค่าใช้จ่าย"</t>
  </si>
  <si>
    <t>TC-15-01</t>
  </si>
  <si>
    <t>งบทดลองแยกบริษัท และยกยอดต้นงวด</t>
  </si>
  <si>
    <t>ICC Post ม.ค. 100.00 และ ก.พ. 20.00; ITK Post ม.ค. 999.00</t>
  </si>
  <si>
    <t>1. ล็อกอิน ICC เปิด CL04 งวด FY2027-02</t>
  </si>
  <si>
    <t>แสดงเฉพาะ 10-1100, 10-5100; 10-5100 ยอดยกมา 100.00, Dr 20.00, ยอดปลาย 120.00; ไม่มียอด ITK</t>
  </si>
  <si>
    <t>TC-15-02</t>
  </si>
  <si>
    <t>ผู้ใช้ ITK เปิด Journal ของ ICC ไม่ได้</t>
  </si>
  <si>
    <t>ต่อจาก TC-15-01</t>
  </si>
  <si>
    <t>1. ล็อกอิน itk.maker เปิดลิงก์ Journal ของ ICC</t>
  </si>
  <si>
    <t>ไม่พบเอกสาร</t>
  </si>
  <si>
    <t>TC-15-03</t>
  </si>
  <si>
    <t>Account Inquiry ผูกกับ Journal ที่ Post</t>
  </si>
  <si>
    <t>1. เปิด GL-AI เลือกบัญชี 10-5100 งวด FY2027-01</t>
  </si>
  <si>
    <t>แสดงรายการ JV27-000001 Dr 100.00 และยอดงวด ม.ค. Dr 100.00 ยอดปลาย 100.00</t>
  </si>
  <si>
    <t>TC-15-04</t>
  </si>
  <si>
    <t>เฉพาะ GL accountant ของบริษัทที่เลือกบันทึก Journal ได้</t>
  </si>
  <si>
    <t>ผู้ใช้ clerk</t>
  </si>
  <si>
    <t>1. clerk ไม่เลือกบริษัท สร้าง Journal
2. ให้ clerk มีบทบาท receiver ของ ICC เลือกบริษัท ICC แล้วสร้าง Journal</t>
  </si>
  <si>
    <t>ข้อ 1 แจ้งให้เลือกบริษัท; ข้อ 2 ไม่มีสิทธิ์</t>
  </si>
  <si>
    <t>TC-16-01</t>
  </si>
  <si>
    <t>ขอเปิดใช้ USD: ระหว่างรออนุมัติยังใช้ไม่ได้</t>
  </si>
  <si>
    <t>ICC มีผังทดสอบ (TD-01), ปฏิทิน FY2027 เปิดงวด ม.ค.–ก.พ. 2027, กฎเลข JV{FY2}-{SEQ:6}, Workflow GL_JOURNAL 1 ขั้น (gl_accountant); Workflow GL_CURRENCY 1 ขั้น; ล็อกอินเป็น ผู้จัดทำ (Maker: gl_accountant)</t>
  </si>
  <si>
    <t>1. เปิด /gl/currencies ดูสกุลเงิน
2. กด + ขอเปิดใช้สกุลเงิน USD
3. สร้าง Journal สกุล USD</t>
  </si>
  <si>
    <t>เหตุผล: เริ่มซื้อขายสกุลนี้</t>
  </si>
  <si>
    <t>ตอนแรกเปิดใช้เฉพาะ THB; คำขอสถานะ รออนุมัติ USD ยังไม่เปิด; Journal USD แจ้งว่าสกุลเงินยังไม่เปิดใช้</t>
  </si>
  <si>
    <t>TC-16-02</t>
  </si>
  <si>
    <t>อนุมัติแล้ว USD เปิดใช้</t>
  </si>
  <si>
    <t>ต่อจาก TC-16-01</t>
  </si>
  <si>
    <t>1. ผู้จัดทำลองอนุมัติเองใน H02
2. ผู้จัดการอนุมัติ
3. ดูรายการสกุลเงินและคำขอ</t>
  </si>
  <si>
    <t>ข้อ 1 ไม่ยอม (D07); หลังอนุมัติ USD เปิดใช้ คำขอสถานะ ใช้แล้ว</t>
  </si>
  <si>
    <t>TC-16-03</t>
  </si>
  <si>
    <t>คำขอซ้ำ หรือสกุลที่ไม่มี</t>
  </si>
  <si>
    <t>ต่อจาก TC-16-02</t>
  </si>
  <si>
    <t>1. ขอเปิด USD อีกครั้ง
2. ขอเปิดสกุล XXX</t>
  </si>
  <si>
    <t>ข้อ 1 แจ้งซ้ำ; ข้อ 2 แจ้งว่าไม่มีสกุลนี้</t>
  </si>
  <si>
    <t>TC-17-01</t>
  </si>
  <si>
    <t>คีย์อัตราเอง วันเดียวกันแทนค่าเดิม</t>
  </si>
  <si>
    <t>USD เปิดใช้แล้ว; ล็อกอินเป็นผู้จัดทำ</t>
  </si>
  <si>
    <t>1. กด + คีย์อัตรา USD CORPORATE 15/01/2027 = 35.125
2. คีย์ซ้ำวันเดียวกัน = 35.25
3. ค้นหาอัตรา USD</t>
  </si>
  <si>
    <t>อัตราทดสอบ (P08)</t>
  </si>
  <si>
    <t>มีแถวเดียว USD→THB CORPORATE 15/01/2027 อัตรา 35.250000 ที่มา MANUAL</t>
  </si>
  <si>
    <t>TC-17-02</t>
  </si>
  <si>
    <t>ตรวจอัตราที่ผิด</t>
  </si>
  <si>
    <t>ต่อจาก TC-17-01</t>
  </si>
  <si>
    <t>1. คีย์อัตรา EUR ประเภท USER อัตรา 0</t>
  </si>
  <si>
    <t>EUR ยังไม่เปิด</t>
  </si>
  <si>
    <t>แจ้ง EUR ยังไม่เปิดใช้ และประเภท USER คีย์เป็นอัตรารายวันไม่ได้</t>
  </si>
  <si>
    <t>TC-17-03</t>
  </si>
  <si>
    <t>ผู้ที่ไม่ใช่ GL accountant คีย์อัตราไม่ได้</t>
  </si>
  <si>
    <t>ผู้ใช้ outsider</t>
  </si>
  <si>
    <t>1. ล็อกอิน outsider คีย์อัตรา USD</t>
  </si>
  <si>
    <t>ไม่มีสิทธิ์</t>
  </si>
  <si>
    <t>TC-17-04</t>
  </si>
  <si>
    <t>นำเข้า Excel ที่มีแถวผิด ไม่บันทึกทั้งไฟล์</t>
  </si>
  <si>
    <t>USD และ JPY เปิดใช้แล้ว</t>
  </si>
  <si>
    <t>1. กด นำเข้าจาก Excel (GL_DAILY_RATES) ดาวน์โหลด Template
2. ใส่ข้อมูล TD-04 ชุดผิด แล้วอัปโหลด กด Load และ Import
3. ดูแถวผิด</t>
  </si>
  <si>
    <t>TD-04 ชุดผิด (6 แถว)</t>
  </si>
  <si>
    <t>ไม่มีอัตราใดถูกบันทึก; แถวผิดระบุคอลัมน์: แถว 3 FROM_CURRENCY, 4 RATE_TYPE, 5 RATE, 6–7 RATE_DATE (ซ้ำ)</t>
  </si>
  <si>
    <t>TC-17-05</t>
  </si>
  <si>
    <t>นำเข้า Excel ที่ถูกต้อง</t>
  </si>
  <si>
    <t>ต่อจาก TC-17-04</t>
  </si>
  <si>
    <t>1. อัปโหลด TD-04 ชุดถูก กด Load และ Import</t>
  </si>
  <si>
    <t>TD-04 ชุดถูก (2 แถว)</t>
  </si>
  <si>
    <t>ประมวลผล 2 แถว ผิด 0; อัตรา USD 35.500000 และ JPY 0.235000 ที่มา IMPORT</t>
  </si>
  <si>
    <t>TC-17-06</t>
  </si>
  <si>
    <t>ดึงอัตราจากธนาคาร (จำลอง D03)</t>
  </si>
  <si>
    <t>USD เปิดใช้; ฝั่งเซิร์ฟเวอร์ตั้ง BANK_RATE_SIM_FILE (ผู้ดูแลระบบ)</t>
  </si>
  <si>
    <t>1. ก่อนตั้งค่า: กด ดึงจากธนาคาร (จำลอง) วันที่ 15/01/2027
2. หลังตั้งไฟล์จำลอง: กดอีกครั้ง</t>
  </si>
  <si>
    <t>ไฟล์จำลอง TD-05</t>
  </si>
  <si>
    <t>ข้อ 1 แจ้งว่ายังไม่ได้ตั้งค่า; ข้อ 2 โหลด 1 รายการ ข้าม EUR; อัตรา USD 35.750000 ที่มา BANK_SIM</t>
  </si>
  <si>
    <t>TC-18-01</t>
  </si>
  <si>
    <t>ไม่มีอัตราของวันที่ Complete ไม่ได้</t>
  </si>
  <si>
    <t>USD เปิดใช้; ยังไม่มีอัตรา 15/01/2027</t>
  </si>
  <si>
    <t>1. สร้าง Journal USD CORPORATE 15/01/2027 ตามข้อมูล
2. กด Complete</t>
  </si>
  <si>
    <t>10-5100 Dr 0.10
10-5100 Dr 0.10
10-1100 Cr 0.20</t>
  </si>
  <si>
    <t>บันทึกร่างได้ (ยอด USD 0.20/0.20); Complete แจ้งที่วันที่อัตราว่าไม่มีอัตรา</t>
  </si>
  <si>
    <t>TC-18-02</t>
  </si>
  <si>
    <t>ยังไม่ตั้งบัญชีปัดเศษ Complete ไม่ได้</t>
  </si>
  <si>
    <t>ต่อจาก TC-18-01; คีย์อัตรา USD 15/01/2027 = 35.125</t>
  </si>
  <si>
    <t>1. กด Complete อีกครั้ง</t>
  </si>
  <si>
    <t>แจ้งว่ายังไม่ได้ตั้งบัญชีผลต่างจากการปัดเศษ</t>
  </si>
  <si>
    <t>TC-18-03</t>
  </si>
  <si>
    <t>แปลงเป็นบาทและลงผลต่างปัดเศษ</t>
  </si>
  <si>
    <t>ต่อจาก TC-18-02</t>
  </si>
  <si>
    <t>1. /gl/currencies ตั้งบัญชี: ปัดเศษ 10-5300, กำไร 10-4100, ขาดทุน 10-5200
2. กด Complete
3. Submit, อนุมัติ, Post
4. ดูงบทดลอง FY2027-01</t>
  </si>
  <si>
    <t>0.10 × 35.125 = 3.5125 → 3.51; 0.20 × 35.125 = 7.025 → 7.03</t>
  </si>
  <si>
    <t>อัตรา 35.125000 ยอดบาท 7.03/7.03; บรรทัด 3.51, 3.51, 7.03 และบรรทัดปัดเศษ 10-5300 Dr 0.01; งบทดลอง 10-1100 -7.03, 10-5100 7.02, 10-5300 0.01</t>
  </si>
  <si>
    <t>TC-18-04</t>
  </si>
  <si>
    <t>กลับรายการ Journal สกุลต่างประเทศ</t>
  </si>
  <si>
    <t>ต่อจาก TC-18-03</t>
  </si>
  <si>
    <t>1. กลับรายการวันที่ 20/01/2027</t>
  </si>
  <si>
    <t>Journal ใหม่ USD อัตรา 35.125000 Unposted สลับฝั่งทั้งยอด USD และบาท รวมบรรทัดปัดเศษ (Cr 0.01)</t>
  </si>
  <si>
    <t>TC-18-05</t>
  </si>
  <si>
    <t>ตรวจสมดุลที่ยอดสกุลเงินที่บันทึก</t>
  </si>
  <si>
    <t>USD เปิดใช้ ตั้งบัญชีแล้ว</t>
  </si>
  <si>
    <t>1. Journal USD: 10-5100 Dr 10.00 / 10-1100 Cr 9.00
2. กด Complete</t>
  </si>
  <si>
    <t>แจ้งว่า Journal ไม่สมดุล</t>
  </si>
  <si>
    <t>TC-18-06</t>
  </si>
  <si>
    <t>อัตราประเภท USER</t>
  </si>
  <si>
    <t>ต่อจาก TC-18-05</t>
  </si>
  <si>
    <t>1. Journal USD ประเภท USER ไม่ใส่อัตรา
2. Journal USD ประเภท CORPORATE ใส่อัตรา 35
3. Journal USD ประเภท USER อัตรา 36.5: Dr 10.00 / Cr 10.00 กด Complete</t>
  </si>
  <si>
    <t>ข้อ 1 และ 2 ไม่ยอม; ข้อ 3 อัตรา 36.500000 ยอดบาท 365.00</t>
  </si>
  <si>
    <t>TC-18-07</t>
  </si>
  <si>
    <t>JPY ไม่มีทศนิยม</t>
  </si>
  <si>
    <t>JPY เปิดใช้; อัตรา JPY 15/01/2027 = 0.235</t>
  </si>
  <si>
    <t>1. Journal JPY: 10-5100 Dr 100.50 / 10-1100 Cr 100.50
2. กด Complete</t>
  </si>
  <si>
    <t>แจ้งบรรทัด 1 และ 2 ว่าทศนิยมเกินที่สกุลเงินกำหนด</t>
  </si>
  <si>
    <t>TC-18-08</t>
  </si>
  <si>
    <t>Journal บาท อัตรา 1</t>
  </si>
  <si>
    <t>1. Journal THB: 10-5100 Dr 5.00 / 10-1100 Cr 5.00 กด Complete</t>
  </si>
  <si>
    <t>สกุล THB อัตรา 1.000000 ยอดบาท = ยอดที่บันทึก = 5.00</t>
  </si>
  <si>
    <t>TC-19-01</t>
  </si>
  <si>
    <t>ไม่มีอัตราวันสิ้นงวด ปรับมูลค่าไม่ได้</t>
  </si>
  <si>
    <t>USD เปิดใช้ ตั้งบัญชีแล้ว; อัตรา 15/01/2027 = 35; Post Journal USD ตามข้อมูล</t>
  </si>
  <si>
    <t>1. /gl/currencies ส่วน Revaluation เลือกงวด FY2027-01 ประเภท CORPORATE
2. กด สร้าง Journal ปรับมูลค่า</t>
  </si>
  <si>
    <t>10-1100 Dr 100.00
10-2100 Cr 40.00
10-5100 Cr 60.00</t>
  </si>
  <si>
    <t>แจ้งว่าไม่มีอัตรา</t>
  </si>
  <si>
    <t>TC-19-02</t>
  </si>
  <si>
    <t>สร้าง Journal ปรับมูลค่า ครั้งเดียวต่องวด</t>
  </si>
  <si>
    <t>ต่อจาก TC-19-01; คีย์อัตรา 31/01/2027 = 36</t>
  </si>
  <si>
    <t>1. กด สร้าง Journal ปรับมูลค่า
2. กดซ้ำอีกครั้ง</t>
  </si>
  <si>
    <t>เงินฝาก +100 บาท (กำไร), เจ้าหนี้ +40 บาท (ขาดทุน), ค่าใช้จ่ายไม่ปรับ</t>
  </si>
  <si>
    <t>Journal Source REVALUATION สกุล THB วันที่ 31/01/2027 Unposted ยอด 140.00: 10-1100 Dr 100, 10-2100 Cr 40, 10-4100 Cr 100, 10-5200 Dr 40; ข้อ 2 แจ้งว่าปรับมูลค่างวดนี้แล้ว</t>
  </si>
  <si>
    <t>TC-19-03</t>
  </si>
  <si>
    <t>Post แล้วกลับรายการอัตโนมัติวันแรกของงวดถัดไป</t>
  </si>
  <si>
    <t>ต่อจาก TC-19-02</t>
  </si>
  <si>
    <t>1. ผู้จัดการ Post (ไม่ต้องอนุมัติ)
2. ดูรายการกลับ
3. งบทดลอง FY2027-01 และ FY2027-02</t>
  </si>
  <si>
    <t>รายการกลับวันที่ 01/02/2027 Posted; ม.ค.: 10-1100 3,600.00, 10-2100 -1,440.00, 10-4100 -100.00, 10-5100 -2,100.00, 10-5200 40.00; ก.พ.: 10-1100 3,500.00, 10-2100 -1,400.00, 10-4100 0.00, 10-5100 -2,100.00, 10-5200 0.00</t>
  </si>
  <si>
    <t>ชุดข้อมูลทดสอบ</t>
  </si>
  <si>
    <t>ค่าทั้งหมดเป็นข้อมูลสังเคราะห์สำหรับทดสอบ ไม่ใช่ผังบัญชี อัตราแลกเปลี่ยน หรือข้อมูลบริษัทจริง (P08) ค่าจริงนำเข้าจาก Oracle EBS ภายหลัง</t>
  </si>
  <si>
    <t>รหัส</t>
  </si>
  <si>
    <t>ชุดข้อมูล</t>
  </si>
  <si>
    <t>รายละเอียด</t>
  </si>
  <si>
    <t>TD-01</t>
  </si>
  <si>
    <t>ผังทดสอบ 3 segment (SC-01–SC-06)</t>
  </si>
  <si>
    <t>CO (Company, 2 หลัก) – CC (Cost center, 3) – ACC (Natural account, 6)
CO: 10 ICC, 20 ITK
CC: 000 ไม่ระบุ, 100 ขาย
ACC: 110100 เงินสด (asset, กระทบยอด), 410100 รายได้ขาย (revenue, monthly_income = DIV-IN)</t>
  </si>
  <si>
    <t>ผัง ICC 8 segment (SC-07)</t>
  </si>
  <si>
    <t>CO 4, DEPT 6, ACC 9, PROD 25 (default 0), IC 4 (default 0000), RES1–RES3 3 (default 000)
ค่า: CO ICC, DEPT T00001, ACC 900000001 บัญชีทดสอบ (expense), PROD 0 / TEST BRAND A, IC 0000, RES1–3 000</t>
  </si>
  <si>
    <t>TD-03</t>
  </si>
  <si>
    <t>ผังสำหรับ Journal (SC-09–SC-19)</t>
  </si>
  <si>
    <t>CO (2) – ACC (4)
SC-09–15: 1100 เงินสด, 2100 ค่าใช้จ่ายค้างจ่าย, 5100 ค่าใช้จ่าย, 5000 หัวรวม (ห้ามลงบัญชี), 5900 ปิดใช้งาน
SC-16–19: 1100 เงินฝากสกุลต่างประเทศ, 2100 เจ้าหนี้สกุลต่างประเทศ, 4100 กำไรอัตราแลกเปลี่ยนยังไม่เกิด, 5100 ค่าใช้จ่าย, 5200 ขาดทุนอัตราแลกเปลี่ยนยังไม่เกิด, 5300 ผลต่างปัดเศษ</t>
  </si>
  <si>
    <t>TD-04</t>
  </si>
  <si>
    <t>ไฟล์นำเข้าอัตรา GL_DAILY_RATES (SC-17)</t>
  </si>
  <si>
    <t>ชุดผิด (FROM_CURRENCY, RATE_TYPE, RATE_DATE, RATE):
USD CORPORATE 2027-01-15 35.5
EUR CORPORATE 2027-01-15 38 (EUR ไม่เปิด)
USD USER 2027-01-15 35 (ประเภท USER)
JPY CORPORATE 2027-01-15 -1 (ติดลบ)
JPY SPOT 2027-01-15 0.25
JPY SPOT 2027-01-15 0.26 (ซ้ำ)
ชุดถูก: USD CORPORATE 2027-01-15 35.5; JPY CORPORATE 2027-01-15 0.235</t>
  </si>
  <si>
    <t>TD-05</t>
  </si>
  <si>
    <t>ไฟล์ธนาคารจำลอง (SC-17)</t>
  </si>
  <si>
    <t>{"rates":[{"date":"2027-01-15","currency":"USD","rate":"35.75"},{"date":"2027-01-15","currency":"EUR","rate":"38.1"},{"date":"2027-01-16","currency":"USD","rate":"35.8"}]}</t>
  </si>
  <si>
    <t>TD-06</t>
  </si>
  <si>
    <t>ผู้ใช้และสิทธิ์</t>
  </si>
  <si>
    <t>System Admin: ตั้งค่า S01–S06
ผู้จัดทำ (Maker: gl_accountant): icc.maker / gl.clerk
ผู้จัดการ (Manager: gl_accountant + gl_reviewer): icc.manager / gl.manager
itk.maker: gl_accountant ของ ITK
clerk / outsider: ไม่มีสิทธิ์ GL</t>
  </si>
  <si>
    <t>TD-07</t>
  </si>
  <si>
    <t>ปฏิทิน, เลขเอกสาร, Workflow</t>
  </si>
  <si>
    <t>ปฏิทินเริ่มเดือน 1 ปี FY2027; ม.ค.–ก.พ. เปิด, มี.ค. Future entry (SC-10), เม.ย. ยังไม่เปิด
กฎเลข GL_JOURNAL: JV{FY2}-{SEQ:6} (SC-13 ใช้ {JC}{YY}{MM}{SEQ:3} รีเซ็ตรายเดือน)
Workflow GL_JOURNAL, GL_CURRENCY, GL_ACCOUNT_REQUEST: 1 ขั้น บทบาท gl_accountant ยอดตั้งแต่ 0</t>
  </si>
  <si>
    <t>การรับรองผลการทดสอบ (UAT Sign-off)</t>
  </si>
  <si>
    <t>ข้อสรุป:  ☐ ผ่าน ยอมรับระบบ    ☐ ผ่านแบบมีเงื่อนไข (ระบุ Defect ที่ค้าง)    ☐ ไม่ผ่าน</t>
  </si>
  <si>
    <t>บทบาท</t>
  </si>
  <si>
    <t>ชื่อ - นามสกุล</t>
  </si>
  <si>
    <t>ตำแหน่ง</t>
  </si>
  <si>
    <t>ลายมือชื่อ</t>
  </si>
  <si>
    <t>วันที่</t>
  </si>
  <si>
    <t>ผู้ทดสอบ (Key User GL)</t>
  </si>
  <si>
    <t>ผู้จัดการฝ่ายบัญชี</t>
  </si>
  <si>
    <t>ผู้ตรวจสอบฝ่ายบัญชี</t>
  </si>
  <si>
    <t>ผู้ดูแลระบบ / ทีมพัฒนา</t>
  </si>
  <si>
    <t>ผู้อนุมัติโครงการ</t>
  </si>
  <si>
    <t>Defect ที่ค้าง / เงื่อนไขการยอมรับ: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</si>
</sst>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.0%"/>
  </numFmts>
  <fonts count="11" x14ac:knownFonts="1">
    <font>
      <sz val="11"/>
      <color theme="1"/>
      <name val="Calibri"/>
      <family val="2"/>
      <scheme val="minor"/>
    </font>
    <font>
      <b/>
      <sz val="16"/>
      <color rgb="FF1F3A5F"/>
      <name val="Tahoma"/>
    </font>
    <font>
      <sz val="11"/>
      <color rgb="FF555555"/>
      <name val="Tahoma"/>
    </font>
    <font>
      <b/>
      <sz val="10"/>
      <name val="Tahoma"/>
    </font>
    <font>
      <sz val="10"/>
      <name val="Tahoma"/>
    </font>
    <font>
      <b/>
      <sz val="12"/>
      <color rgb="FF1F3A5F"/>
      <name val="Tahoma"/>
    </font>
    <font>
      <b/>
      <sz val="10"/>
      <color rgb="FFFFFFFF"/>
      <name val="Tahoma"/>
    </font>
    <font>
      <b/>
      <sz val="14"/>
      <color rgb="FF1F3A5F"/>
      <name val="Tahoma"/>
    </font>
    <font>
      <i/>
      <sz val="10"/>
      <color rgb="FF666666"/>
      <name val="Tahoma"/>
    </font>
    <font>
      <i/>
      <sz val="10"/>
      <color rgb="FF7F7F7F"/>
      <name val="Tahoma"/>
    </font>
    <font>
      <sz val="11"/>
      <name val="Tahoma"/>
    </font>
  </fonts>
  <fills count="6">
    <fill>
      <patternFill patternType="none"/>
    </fill>
    <fill>
      <patternFill patternType="gray125"/>
    </fill>
    <fill>
      <patternFill patternType="solid">
        <fgColor rgb="FFEFF3F8"/>
      </patternFill>
    </fill>
    <fill>
      <patternFill patternType="solid">
        <fgColor rgb="FFFFF9DB"/>
      </patternFill>
    </fill>
    <fill>
      <patternFill patternType="solid">
        <fgColor rgb="FF1F3A5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C7D1"/>
      </left>
      <right style="thin">
        <color rgb="FFBFC7D1"/>
      </right>
      <top style="thin">
        <color rgb="FFBFC7D1"/>
      </top>
      <bottom style="thin">
        <color rgb="FFBFC7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0" borderId="0" xfId="0" applyFont="1"/>
    <xf numFmtId="0" fontId="6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165" fontId="4" fillId="0" borderId="1" xfId="0" applyNumberFormat="1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165" fontId="3" fillId="2" borderId="1" xfId="0" applyNumberFormat="1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vertical="top" wrapText="1"/>
    </xf>
    <xf numFmtId="164" fontId="9" fillId="5" borderId="1" xfId="0" applyNumberFormat="1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164" fontId="4" fillId="3" borderId="1" xfId="0" applyNumberFormat="1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164" fontId="4" fillId="3" borderId="1" xfId="0" applyNumberFormat="1" applyFont="1" applyFill="1" applyBorder="1" applyAlignment="1">
      <alignment vertical="center" wrapText="1"/>
    </xf>
    <xf numFmtId="0" fontId="1" fillId="0" borderId="0" xfId="0" applyFont="1"/>
    <xf numFmtId="0" fontId="2" fillId="0" borderId="0" xfId="0" applyFont="1"/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7" fillId="0" borderId="0" xfId="0" applyFont="1"/>
    <xf numFmtId="0" fontId="8" fillId="0" borderId="0" xfId="0" applyFont="1"/>
    <xf numFmtId="0" fontId="10" fillId="0" borderId="0" xfId="0" applyFont="1"/>
    <xf numFmtId="0" fontId="3" fillId="0" borderId="0" xfId="0" applyFont="1"/>
  </cellXfs>
  <cellStyles count="1">
    <cellStyle name="Normal" xfId="0" builtinId="0"/>
  </cellStyles>
  <dxfs count="3">
    <dxf>
      <font>
        <b/>
      </font>
      <fill>
        <patternFill patternType="solid">
          <bgColor rgb="FFFFE5B4"/>
        </patternFill>
      </fill>
    </dxf>
    <dxf>
      <font>
        <b/>
      </font>
      <fill>
        <patternFill patternType="solid">
          <bgColor rgb="FFF8D7DA"/>
        </patternFill>
      </fill>
    </dxf>
    <dxf>
      <font>
        <b/>
      </font>
      <fill>
        <patternFill patternType="solid">
          <bgColor rgb="FFD9F2E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E30"/>
  <sheetViews>
    <sheetView showGridLines="0" tabSelected="1" workbookViewId="0"/>
  </sheetViews>
  <sheetFormatPr defaultRowHeight="14.25" x14ac:dyDescent="0.45"/>
  <cols>
    <col min="1" max="1" width="4" customWidth="1"/>
    <col min="2" max="2" width="30" customWidth="1"/>
    <col min="3" max="5" width="22" customWidth="1"/>
  </cols>
  <sheetData>
    <row r="2" spans="2:5" ht="19.899999999999999" x14ac:dyDescent="0.5">
      <c r="B2" s="19" t="s">
        <v>0</v>
      </c>
      <c r="C2" s="19"/>
      <c r="D2" s="19"/>
      <c r="E2" s="19"/>
    </row>
    <row r="3" spans="2:5" x14ac:dyDescent="0.45">
      <c r="B3" s="20" t="s">
        <v>1</v>
      </c>
      <c r="C3" s="20"/>
      <c r="D3" s="20"/>
      <c r="E3" s="20"/>
    </row>
    <row r="5" spans="2:5" x14ac:dyDescent="0.45">
      <c r="B5" s="1" t="s">
        <v>2</v>
      </c>
      <c r="C5" s="21" t="s">
        <v>3</v>
      </c>
      <c r="D5" s="21"/>
      <c r="E5" s="21"/>
    </row>
    <row r="6" spans="2:5" x14ac:dyDescent="0.45">
      <c r="B6" s="1" t="s">
        <v>4</v>
      </c>
      <c r="C6" s="21" t="s">
        <v>5</v>
      </c>
      <c r="D6" s="21"/>
      <c r="E6" s="21"/>
    </row>
    <row r="7" spans="2:5" x14ac:dyDescent="0.45">
      <c r="B7" s="1" t="s">
        <v>6</v>
      </c>
      <c r="C7" s="21" t="s">
        <v>7</v>
      </c>
      <c r="D7" s="21"/>
      <c r="E7" s="21"/>
    </row>
    <row r="8" spans="2:5" x14ac:dyDescent="0.45">
      <c r="B8" s="1" t="s">
        <v>8</v>
      </c>
      <c r="C8" s="21" t="s">
        <v>9</v>
      </c>
      <c r="D8" s="21"/>
      <c r="E8" s="21"/>
    </row>
    <row r="9" spans="2:5" x14ac:dyDescent="0.45">
      <c r="B9" s="1" t="s">
        <v>10</v>
      </c>
      <c r="C9" s="21" t="s">
        <v>11</v>
      </c>
      <c r="D9" s="21"/>
      <c r="E9" s="21"/>
    </row>
    <row r="10" spans="2:5" x14ac:dyDescent="0.45">
      <c r="B10" s="1" t="s">
        <v>12</v>
      </c>
      <c r="C10" s="21" t="s">
        <v>13</v>
      </c>
      <c r="D10" s="21"/>
      <c r="E10" s="21"/>
    </row>
    <row r="11" spans="2:5" x14ac:dyDescent="0.45">
      <c r="B11" s="1" t="s">
        <v>14</v>
      </c>
      <c r="C11" s="21" t="s">
        <v>15</v>
      </c>
      <c r="D11" s="21"/>
      <c r="E11" s="21"/>
    </row>
    <row r="12" spans="2:5" x14ac:dyDescent="0.45">
      <c r="B12" s="1" t="s">
        <v>16</v>
      </c>
      <c r="C12" s="22">
        <v>46322.708333333328</v>
      </c>
      <c r="D12" s="22"/>
      <c r="E12" s="22"/>
    </row>
    <row r="13" spans="2:5" x14ac:dyDescent="0.45">
      <c r="B13" s="1" t="s">
        <v>17</v>
      </c>
      <c r="C13" s="23" t="s">
        <v>18</v>
      </c>
      <c r="D13" s="23"/>
      <c r="E13" s="23"/>
    </row>
    <row r="14" spans="2:5" x14ac:dyDescent="0.45">
      <c r="B14" s="1" t="s">
        <v>19</v>
      </c>
      <c r="C14" s="23" t="s">
        <v>18</v>
      </c>
      <c r="D14" s="23"/>
      <c r="E14" s="23"/>
    </row>
    <row r="17" spans="2:5" ht="15.4" x14ac:dyDescent="0.45">
      <c r="B17" s="4" t="s">
        <v>20</v>
      </c>
    </row>
    <row r="18" spans="2:5" x14ac:dyDescent="0.45">
      <c r="B18" s="5" t="s">
        <v>21</v>
      </c>
      <c r="C18" s="5" t="s">
        <v>22</v>
      </c>
      <c r="D18" s="5" t="s">
        <v>23</v>
      </c>
    </row>
    <row r="19" spans="2:5" x14ac:dyDescent="0.45">
      <c r="B19" s="2" t="s">
        <v>24</v>
      </c>
      <c r="C19" s="6">
        <f>COUNTIF('Test Cases'!$K$6:$K$77,B19)</f>
        <v>72</v>
      </c>
      <c r="D19" s="7">
        <f>IF($C$23=0,0,C19/$C$23)</f>
        <v>1</v>
      </c>
    </row>
    <row r="20" spans="2:5" x14ac:dyDescent="0.45">
      <c r="B20" s="2" t="s">
        <v>25</v>
      </c>
      <c r="C20" s="6">
        <f>COUNTIF('Test Cases'!$K$6:$K$77,B20)</f>
        <v>0</v>
      </c>
      <c r="D20" s="7">
        <f>IF($C$23=0,0,C20/$C$23)</f>
        <v>0</v>
      </c>
    </row>
    <row r="21" spans="2:5" x14ac:dyDescent="0.45">
      <c r="B21" s="2" t="s">
        <v>26</v>
      </c>
      <c r="C21" s="6">
        <f>COUNTIF('Test Cases'!$K$6:$K$77,B21)</f>
        <v>0</v>
      </c>
      <c r="D21" s="7">
        <f>IF($C$23=0,0,C21/$C$23)</f>
        <v>0</v>
      </c>
    </row>
    <row r="22" spans="2:5" x14ac:dyDescent="0.45">
      <c r="B22" s="2" t="s">
        <v>27</v>
      </c>
      <c r="C22" s="6">
        <f>COUNTIF('Test Cases'!$K$6:$K$77,B22)</f>
        <v>0</v>
      </c>
      <c r="D22" s="7">
        <f>IF($C$23=0,0,C22/$C$23)</f>
        <v>0</v>
      </c>
    </row>
    <row r="23" spans="2:5" x14ac:dyDescent="0.45">
      <c r="B23" s="1" t="s">
        <v>28</v>
      </c>
      <c r="C23" s="8">
        <f>COUNTA('Test Cases'!$A$6:$A$77)</f>
        <v>72</v>
      </c>
      <c r="D23" s="9">
        <f>IF(C23=0,0,SUM(C19:C22)/C23)</f>
        <v>1</v>
      </c>
    </row>
    <row r="25" spans="2:5" ht="15.4" x14ac:dyDescent="0.45">
      <c r="B25" s="4" t="s">
        <v>29</v>
      </c>
    </row>
    <row r="26" spans="2:5" ht="28.05" customHeight="1" x14ac:dyDescent="0.45">
      <c r="B26" s="24" t="s">
        <v>30</v>
      </c>
      <c r="C26" s="24"/>
      <c r="D26" s="24"/>
      <c r="E26" s="24"/>
    </row>
    <row r="27" spans="2:5" ht="28.05" customHeight="1" x14ac:dyDescent="0.45">
      <c r="B27" s="24" t="s">
        <v>31</v>
      </c>
      <c r="C27" s="24"/>
      <c r="D27" s="24"/>
      <c r="E27" s="24"/>
    </row>
    <row r="28" spans="2:5" ht="28.05" customHeight="1" x14ac:dyDescent="0.45">
      <c r="B28" s="24" t="s">
        <v>32</v>
      </c>
      <c r="C28" s="24"/>
      <c r="D28" s="24"/>
      <c r="E28" s="24"/>
    </row>
    <row r="29" spans="2:5" ht="28.05" customHeight="1" x14ac:dyDescent="0.45">
      <c r="B29" s="24" t="s">
        <v>33</v>
      </c>
      <c r="C29" s="24"/>
      <c r="D29" s="24"/>
      <c r="E29" s="24"/>
    </row>
    <row r="30" spans="2:5" ht="28.05" customHeight="1" x14ac:dyDescent="0.45">
      <c r="B30" s="24" t="s">
        <v>34</v>
      </c>
      <c r="C30" s="24"/>
      <c r="D30" s="24"/>
      <c r="E30" s="24"/>
    </row>
  </sheetData>
  <mergeCells count="17">
    <mergeCell ref="B29:E29"/>
    <mergeCell ref="B30:E30"/>
    <mergeCell ref="C13:E13"/>
    <mergeCell ref="C14:E14"/>
    <mergeCell ref="B26:E26"/>
    <mergeCell ref="B27:E27"/>
    <mergeCell ref="B28:E28"/>
    <mergeCell ref="C8:E8"/>
    <mergeCell ref="C9:E9"/>
    <mergeCell ref="C10:E10"/>
    <mergeCell ref="C11:E11"/>
    <mergeCell ref="C12:E12"/>
    <mergeCell ref="B2:E2"/>
    <mergeCell ref="B3:E3"/>
    <mergeCell ref="C5:E5"/>
    <mergeCell ref="C6:E6"/>
    <mergeCell ref="C7:E7"/>
  </mergeCells>
  <pageMargins left="0.7" right="0.7" top="0.75" bottom="0.75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24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3" max="3" width="52" customWidth="1"/>
    <col min="4" max="4" width="34" customWidth="1"/>
    <col min="5" max="5" width="10" customWidth="1"/>
  </cols>
  <sheetData>
    <row r="1" spans="1:10" ht="17.25" x14ac:dyDescent="0.45">
      <c r="A1" s="25" t="s">
        <v>35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x14ac:dyDescent="0.45">
      <c r="A2" s="26" t="s">
        <v>36</v>
      </c>
      <c r="B2" s="26"/>
      <c r="C2" s="26"/>
      <c r="D2" s="26"/>
      <c r="E2" s="26"/>
      <c r="F2" s="26"/>
      <c r="G2" s="26"/>
      <c r="H2" s="26"/>
      <c r="I2" s="26"/>
      <c r="J2" s="26"/>
    </row>
    <row r="4" spans="1:10" ht="22.05" customHeight="1" x14ac:dyDescent="0.45">
      <c r="A4" s="5" t="s">
        <v>37</v>
      </c>
      <c r="B4" s="5" t="s">
        <v>38</v>
      </c>
      <c r="C4" s="5" t="s">
        <v>39</v>
      </c>
      <c r="D4" s="5" t="s">
        <v>40</v>
      </c>
      <c r="E4" s="5" t="s">
        <v>41</v>
      </c>
      <c r="F4" s="5" t="s">
        <v>42</v>
      </c>
      <c r="G4" s="5" t="s">
        <v>25</v>
      </c>
      <c r="H4" s="5" t="s">
        <v>26</v>
      </c>
      <c r="I4" s="5" t="s">
        <v>27</v>
      </c>
      <c r="J4" s="5" t="s">
        <v>24</v>
      </c>
    </row>
    <row r="5" spans="1:10" x14ac:dyDescent="0.45">
      <c r="A5" s="6" t="s">
        <v>43</v>
      </c>
      <c r="B5" s="6" t="s">
        <v>44</v>
      </c>
      <c r="C5" s="2" t="s">
        <v>45</v>
      </c>
      <c r="D5" s="2" t="s">
        <v>46</v>
      </c>
      <c r="E5" s="6" t="s">
        <v>47</v>
      </c>
      <c r="F5" s="6">
        <f>COUNTIF('Test Cases'!$B$6:$B$77,A5)</f>
        <v>4</v>
      </c>
      <c r="G5" s="6">
        <f>COUNTIFS('Test Cases'!$B$6:$B$77,$A5,'Test Cases'!$K$6:$K$77,"Pass")</f>
        <v>0</v>
      </c>
      <c r="H5" s="6">
        <f>COUNTIFS('Test Cases'!$B$6:$B$77,$A5,'Test Cases'!$K$6:$K$77,"Fail")</f>
        <v>0</v>
      </c>
      <c r="I5" s="6">
        <f>COUNTIFS('Test Cases'!$B$6:$B$77,$A5,'Test Cases'!$K$6:$K$77,"Blocked")</f>
        <v>0</v>
      </c>
      <c r="J5" s="6">
        <f>COUNTIFS('Test Cases'!$B$6:$B$77,$A5,'Test Cases'!$K$6:$K$77,"Not Run")</f>
        <v>4</v>
      </c>
    </row>
    <row r="6" spans="1:10" x14ac:dyDescent="0.45">
      <c r="A6" s="6" t="s">
        <v>48</v>
      </c>
      <c r="B6" s="6" t="s">
        <v>44</v>
      </c>
      <c r="C6" s="2" t="s">
        <v>49</v>
      </c>
      <c r="D6" s="2" t="s">
        <v>46</v>
      </c>
      <c r="E6" s="6" t="s">
        <v>47</v>
      </c>
      <c r="F6" s="6">
        <f>COUNTIF('Test Cases'!$B$6:$B$77,A6)</f>
        <v>3</v>
      </c>
      <c r="G6" s="6">
        <f>COUNTIFS('Test Cases'!$B$6:$B$77,$A6,'Test Cases'!$K$6:$K$77,"Pass")</f>
        <v>0</v>
      </c>
      <c r="H6" s="6">
        <f>COUNTIFS('Test Cases'!$B$6:$B$77,$A6,'Test Cases'!$K$6:$K$77,"Fail")</f>
        <v>0</v>
      </c>
      <c r="I6" s="6">
        <f>COUNTIFS('Test Cases'!$B$6:$B$77,$A6,'Test Cases'!$K$6:$K$77,"Blocked")</f>
        <v>0</v>
      </c>
      <c r="J6" s="6">
        <f>COUNTIFS('Test Cases'!$B$6:$B$77,$A6,'Test Cases'!$K$6:$K$77,"Not Run")</f>
        <v>3</v>
      </c>
    </row>
    <row r="7" spans="1:10" x14ac:dyDescent="0.45">
      <c r="A7" s="6" t="s">
        <v>50</v>
      </c>
      <c r="B7" s="6" t="s">
        <v>44</v>
      </c>
      <c r="C7" s="2" t="s">
        <v>51</v>
      </c>
      <c r="D7" s="2" t="s">
        <v>52</v>
      </c>
      <c r="E7" s="6" t="s">
        <v>47</v>
      </c>
      <c r="F7" s="6">
        <f>COUNTIF('Test Cases'!$B$6:$B$77,A7)</f>
        <v>5</v>
      </c>
      <c r="G7" s="6">
        <f>COUNTIFS('Test Cases'!$B$6:$B$77,$A7,'Test Cases'!$K$6:$K$77,"Pass")</f>
        <v>0</v>
      </c>
      <c r="H7" s="6">
        <f>COUNTIFS('Test Cases'!$B$6:$B$77,$A7,'Test Cases'!$K$6:$K$77,"Fail")</f>
        <v>0</v>
      </c>
      <c r="I7" s="6">
        <f>COUNTIFS('Test Cases'!$B$6:$B$77,$A7,'Test Cases'!$K$6:$K$77,"Blocked")</f>
        <v>0</v>
      </c>
      <c r="J7" s="6">
        <f>COUNTIFS('Test Cases'!$B$6:$B$77,$A7,'Test Cases'!$K$6:$K$77,"Not Run")</f>
        <v>5</v>
      </c>
    </row>
    <row r="8" spans="1:10" x14ac:dyDescent="0.45">
      <c r="A8" s="6" t="s">
        <v>53</v>
      </c>
      <c r="B8" s="6" t="s">
        <v>44</v>
      </c>
      <c r="C8" s="2" t="s">
        <v>54</v>
      </c>
      <c r="D8" s="2" t="s">
        <v>55</v>
      </c>
      <c r="E8" s="6" t="s">
        <v>47</v>
      </c>
      <c r="F8" s="6">
        <f>COUNTIF('Test Cases'!$B$6:$B$77,A8)</f>
        <v>4</v>
      </c>
      <c r="G8" s="6">
        <f>COUNTIFS('Test Cases'!$B$6:$B$77,$A8,'Test Cases'!$K$6:$K$77,"Pass")</f>
        <v>0</v>
      </c>
      <c r="H8" s="6">
        <f>COUNTIFS('Test Cases'!$B$6:$B$77,$A8,'Test Cases'!$K$6:$K$77,"Fail")</f>
        <v>0</v>
      </c>
      <c r="I8" s="6">
        <f>COUNTIFS('Test Cases'!$B$6:$B$77,$A8,'Test Cases'!$K$6:$K$77,"Blocked")</f>
        <v>0</v>
      </c>
      <c r="J8" s="6">
        <f>COUNTIFS('Test Cases'!$B$6:$B$77,$A8,'Test Cases'!$K$6:$K$77,"Not Run")</f>
        <v>4</v>
      </c>
    </row>
    <row r="9" spans="1:10" x14ac:dyDescent="0.45">
      <c r="A9" s="6" t="s">
        <v>56</v>
      </c>
      <c r="B9" s="6" t="s">
        <v>44</v>
      </c>
      <c r="C9" s="2" t="s">
        <v>57</v>
      </c>
      <c r="D9" s="2" t="s">
        <v>46</v>
      </c>
      <c r="E9" s="6" t="s">
        <v>58</v>
      </c>
      <c r="F9" s="6">
        <f>COUNTIF('Test Cases'!$B$6:$B$77,A9)</f>
        <v>2</v>
      </c>
      <c r="G9" s="6">
        <f>COUNTIFS('Test Cases'!$B$6:$B$77,$A9,'Test Cases'!$K$6:$K$77,"Pass")</f>
        <v>0</v>
      </c>
      <c r="H9" s="6">
        <f>COUNTIFS('Test Cases'!$B$6:$B$77,$A9,'Test Cases'!$K$6:$K$77,"Fail")</f>
        <v>0</v>
      </c>
      <c r="I9" s="6">
        <f>COUNTIFS('Test Cases'!$B$6:$B$77,$A9,'Test Cases'!$K$6:$K$77,"Blocked")</f>
        <v>0</v>
      </c>
      <c r="J9" s="6">
        <f>COUNTIFS('Test Cases'!$B$6:$B$77,$A9,'Test Cases'!$K$6:$K$77,"Not Run")</f>
        <v>2</v>
      </c>
    </row>
    <row r="10" spans="1:10" ht="25.5" x14ac:dyDescent="0.45">
      <c r="A10" s="6" t="s">
        <v>59</v>
      </c>
      <c r="B10" s="6" t="s">
        <v>44</v>
      </c>
      <c r="C10" s="2" t="s">
        <v>60</v>
      </c>
      <c r="D10" s="2" t="s">
        <v>61</v>
      </c>
      <c r="E10" s="6" t="s">
        <v>47</v>
      </c>
      <c r="F10" s="6">
        <f>COUNTIF('Test Cases'!$B$6:$B$77,A10)</f>
        <v>4</v>
      </c>
      <c r="G10" s="6">
        <f>COUNTIFS('Test Cases'!$B$6:$B$77,$A10,'Test Cases'!$K$6:$K$77,"Pass")</f>
        <v>0</v>
      </c>
      <c r="H10" s="6">
        <f>COUNTIFS('Test Cases'!$B$6:$B$77,$A10,'Test Cases'!$K$6:$K$77,"Fail")</f>
        <v>0</v>
      </c>
      <c r="I10" s="6">
        <f>COUNTIFS('Test Cases'!$B$6:$B$77,$A10,'Test Cases'!$K$6:$K$77,"Blocked")</f>
        <v>0</v>
      </c>
      <c r="J10" s="6">
        <f>COUNTIFS('Test Cases'!$B$6:$B$77,$A10,'Test Cases'!$K$6:$K$77,"Not Run")</f>
        <v>4</v>
      </c>
    </row>
    <row r="11" spans="1:10" x14ac:dyDescent="0.45">
      <c r="A11" s="6" t="s">
        <v>62</v>
      </c>
      <c r="B11" s="6" t="s">
        <v>44</v>
      </c>
      <c r="C11" s="2" t="s">
        <v>63</v>
      </c>
      <c r="D11" s="2" t="s">
        <v>46</v>
      </c>
      <c r="E11" s="6" t="s">
        <v>47</v>
      </c>
      <c r="F11" s="6">
        <f>COUNTIF('Test Cases'!$B$6:$B$77,A11)</f>
        <v>4</v>
      </c>
      <c r="G11" s="6">
        <f>COUNTIFS('Test Cases'!$B$6:$B$77,$A11,'Test Cases'!$K$6:$K$77,"Pass")</f>
        <v>0</v>
      </c>
      <c r="H11" s="6">
        <f>COUNTIFS('Test Cases'!$B$6:$B$77,$A11,'Test Cases'!$K$6:$K$77,"Fail")</f>
        <v>0</v>
      </c>
      <c r="I11" s="6">
        <f>COUNTIFS('Test Cases'!$B$6:$B$77,$A11,'Test Cases'!$K$6:$K$77,"Blocked")</f>
        <v>0</v>
      </c>
      <c r="J11" s="6">
        <f>COUNTIFS('Test Cases'!$B$6:$B$77,$A11,'Test Cases'!$K$6:$K$77,"Not Run")</f>
        <v>4</v>
      </c>
    </row>
    <row r="12" spans="1:10" x14ac:dyDescent="0.45">
      <c r="A12" s="6" t="s">
        <v>64</v>
      </c>
      <c r="B12" s="6" t="s">
        <v>44</v>
      </c>
      <c r="C12" s="2" t="s">
        <v>65</v>
      </c>
      <c r="D12" s="2" t="s">
        <v>46</v>
      </c>
      <c r="E12" s="6" t="s">
        <v>58</v>
      </c>
      <c r="F12" s="6">
        <f>COUNTIF('Test Cases'!$B$6:$B$77,A12)</f>
        <v>1</v>
      </c>
      <c r="G12" s="6">
        <f>COUNTIFS('Test Cases'!$B$6:$B$77,$A12,'Test Cases'!$K$6:$K$77,"Pass")</f>
        <v>0</v>
      </c>
      <c r="H12" s="6">
        <f>COUNTIFS('Test Cases'!$B$6:$B$77,$A12,'Test Cases'!$K$6:$K$77,"Fail")</f>
        <v>0</v>
      </c>
      <c r="I12" s="6">
        <f>COUNTIFS('Test Cases'!$B$6:$B$77,$A12,'Test Cases'!$K$6:$K$77,"Blocked")</f>
        <v>0</v>
      </c>
      <c r="J12" s="6">
        <f>COUNTIFS('Test Cases'!$B$6:$B$77,$A12,'Test Cases'!$K$6:$K$77,"Not Run")</f>
        <v>1</v>
      </c>
    </row>
    <row r="13" spans="1:10" x14ac:dyDescent="0.45">
      <c r="A13" s="6" t="s">
        <v>66</v>
      </c>
      <c r="B13" s="6" t="s">
        <v>67</v>
      </c>
      <c r="C13" s="2" t="s">
        <v>68</v>
      </c>
      <c r="D13" s="2" t="s">
        <v>55</v>
      </c>
      <c r="E13" s="6" t="s">
        <v>47</v>
      </c>
      <c r="F13" s="6">
        <f>COUNTIF('Test Cases'!$B$6:$B$77,A13)</f>
        <v>3</v>
      </c>
      <c r="G13" s="6">
        <f>COUNTIFS('Test Cases'!$B$6:$B$77,$A13,'Test Cases'!$K$6:$K$77,"Pass")</f>
        <v>0</v>
      </c>
      <c r="H13" s="6">
        <f>COUNTIFS('Test Cases'!$B$6:$B$77,$A13,'Test Cases'!$K$6:$K$77,"Fail")</f>
        <v>0</v>
      </c>
      <c r="I13" s="6">
        <f>COUNTIFS('Test Cases'!$B$6:$B$77,$A13,'Test Cases'!$K$6:$K$77,"Blocked")</f>
        <v>0</v>
      </c>
      <c r="J13" s="6">
        <f>COUNTIFS('Test Cases'!$B$6:$B$77,$A13,'Test Cases'!$K$6:$K$77,"Not Run")</f>
        <v>3</v>
      </c>
    </row>
    <row r="14" spans="1:10" x14ac:dyDescent="0.45">
      <c r="A14" s="6" t="s">
        <v>69</v>
      </c>
      <c r="B14" s="6" t="s">
        <v>67</v>
      </c>
      <c r="C14" s="2" t="s">
        <v>70</v>
      </c>
      <c r="D14" s="2" t="s">
        <v>71</v>
      </c>
      <c r="E14" s="6" t="s">
        <v>47</v>
      </c>
      <c r="F14" s="6">
        <f>COUNTIF('Test Cases'!$B$6:$B$77,A14)</f>
        <v>2</v>
      </c>
      <c r="G14" s="6">
        <f>COUNTIFS('Test Cases'!$B$6:$B$77,$A14,'Test Cases'!$K$6:$K$77,"Pass")</f>
        <v>0</v>
      </c>
      <c r="H14" s="6">
        <f>COUNTIFS('Test Cases'!$B$6:$B$77,$A14,'Test Cases'!$K$6:$K$77,"Fail")</f>
        <v>0</v>
      </c>
      <c r="I14" s="6">
        <f>COUNTIFS('Test Cases'!$B$6:$B$77,$A14,'Test Cases'!$K$6:$K$77,"Blocked")</f>
        <v>0</v>
      </c>
      <c r="J14" s="6">
        <f>COUNTIFS('Test Cases'!$B$6:$B$77,$A14,'Test Cases'!$K$6:$K$77,"Not Run")</f>
        <v>2</v>
      </c>
    </row>
    <row r="15" spans="1:10" x14ac:dyDescent="0.45">
      <c r="A15" s="6" t="s">
        <v>72</v>
      </c>
      <c r="B15" s="6" t="s">
        <v>67</v>
      </c>
      <c r="C15" s="2" t="s">
        <v>73</v>
      </c>
      <c r="D15" s="2" t="s">
        <v>74</v>
      </c>
      <c r="E15" s="6" t="s">
        <v>47</v>
      </c>
      <c r="F15" s="6">
        <f>COUNTIF('Test Cases'!$B$6:$B$77,A15)</f>
        <v>7</v>
      </c>
      <c r="G15" s="6">
        <f>COUNTIFS('Test Cases'!$B$6:$B$77,$A15,'Test Cases'!$K$6:$K$77,"Pass")</f>
        <v>0</v>
      </c>
      <c r="H15" s="6">
        <f>COUNTIFS('Test Cases'!$B$6:$B$77,$A15,'Test Cases'!$K$6:$K$77,"Fail")</f>
        <v>0</v>
      </c>
      <c r="I15" s="6">
        <f>COUNTIFS('Test Cases'!$B$6:$B$77,$A15,'Test Cases'!$K$6:$K$77,"Blocked")</f>
        <v>0</v>
      </c>
      <c r="J15" s="6">
        <f>COUNTIFS('Test Cases'!$B$6:$B$77,$A15,'Test Cases'!$K$6:$K$77,"Not Run")</f>
        <v>7</v>
      </c>
    </row>
    <row r="16" spans="1:10" x14ac:dyDescent="0.45">
      <c r="A16" s="6" t="s">
        <v>75</v>
      </c>
      <c r="B16" s="6" t="s">
        <v>76</v>
      </c>
      <c r="C16" s="2" t="s">
        <v>77</v>
      </c>
      <c r="D16" s="2" t="s">
        <v>78</v>
      </c>
      <c r="E16" s="6" t="s">
        <v>47</v>
      </c>
      <c r="F16" s="6">
        <f>COUNTIF('Test Cases'!$B$6:$B$77,A16)</f>
        <v>3</v>
      </c>
      <c r="G16" s="6">
        <f>COUNTIFS('Test Cases'!$B$6:$B$77,$A16,'Test Cases'!$K$6:$K$77,"Pass")</f>
        <v>0</v>
      </c>
      <c r="H16" s="6">
        <f>COUNTIFS('Test Cases'!$B$6:$B$77,$A16,'Test Cases'!$K$6:$K$77,"Fail")</f>
        <v>0</v>
      </c>
      <c r="I16" s="6">
        <f>COUNTIFS('Test Cases'!$B$6:$B$77,$A16,'Test Cases'!$K$6:$K$77,"Blocked")</f>
        <v>0</v>
      </c>
      <c r="J16" s="6">
        <f>COUNTIFS('Test Cases'!$B$6:$B$77,$A16,'Test Cases'!$K$6:$K$77,"Not Run")</f>
        <v>3</v>
      </c>
    </row>
    <row r="17" spans="1:10" ht="25.5" x14ac:dyDescent="0.45">
      <c r="A17" s="6" t="s">
        <v>79</v>
      </c>
      <c r="B17" s="6" t="s">
        <v>76</v>
      </c>
      <c r="C17" s="2" t="s">
        <v>80</v>
      </c>
      <c r="D17" s="2" t="s">
        <v>81</v>
      </c>
      <c r="E17" s="6" t="s">
        <v>47</v>
      </c>
      <c r="F17" s="6">
        <f>COUNTIF('Test Cases'!$B$6:$B$77,A17)</f>
        <v>3</v>
      </c>
      <c r="G17" s="6">
        <f>COUNTIFS('Test Cases'!$B$6:$B$77,$A17,'Test Cases'!$K$6:$K$77,"Pass")</f>
        <v>0</v>
      </c>
      <c r="H17" s="6">
        <f>COUNTIFS('Test Cases'!$B$6:$B$77,$A17,'Test Cases'!$K$6:$K$77,"Fail")</f>
        <v>0</v>
      </c>
      <c r="I17" s="6">
        <f>COUNTIFS('Test Cases'!$B$6:$B$77,$A17,'Test Cases'!$K$6:$K$77,"Blocked")</f>
        <v>0</v>
      </c>
      <c r="J17" s="6">
        <f>COUNTIFS('Test Cases'!$B$6:$B$77,$A17,'Test Cases'!$K$6:$K$77,"Not Run")</f>
        <v>3</v>
      </c>
    </row>
    <row r="18" spans="1:10" x14ac:dyDescent="0.45">
      <c r="A18" s="6" t="s">
        <v>82</v>
      </c>
      <c r="B18" s="6" t="s">
        <v>67</v>
      </c>
      <c r="C18" s="2" t="s">
        <v>83</v>
      </c>
      <c r="D18" s="2" t="s">
        <v>55</v>
      </c>
      <c r="E18" s="6" t="s">
        <v>58</v>
      </c>
      <c r="F18" s="6">
        <f>COUNTIF('Test Cases'!$B$6:$B$77,A18)</f>
        <v>3</v>
      </c>
      <c r="G18" s="6">
        <f>COUNTIFS('Test Cases'!$B$6:$B$77,$A18,'Test Cases'!$K$6:$K$77,"Pass")</f>
        <v>0</v>
      </c>
      <c r="H18" s="6">
        <f>COUNTIFS('Test Cases'!$B$6:$B$77,$A18,'Test Cases'!$K$6:$K$77,"Fail")</f>
        <v>0</v>
      </c>
      <c r="I18" s="6">
        <f>COUNTIFS('Test Cases'!$B$6:$B$77,$A18,'Test Cases'!$K$6:$K$77,"Blocked")</f>
        <v>0</v>
      </c>
      <c r="J18" s="6">
        <f>COUNTIFS('Test Cases'!$B$6:$B$77,$A18,'Test Cases'!$K$6:$K$77,"Not Run")</f>
        <v>3</v>
      </c>
    </row>
    <row r="19" spans="1:10" ht="25.5" x14ac:dyDescent="0.45">
      <c r="A19" s="6" t="s">
        <v>84</v>
      </c>
      <c r="B19" s="6" t="s">
        <v>67</v>
      </c>
      <c r="C19" s="2" t="s">
        <v>85</v>
      </c>
      <c r="D19" s="2" t="s">
        <v>86</v>
      </c>
      <c r="E19" s="6" t="s">
        <v>47</v>
      </c>
      <c r="F19" s="6">
        <f>COUNTIF('Test Cases'!$B$6:$B$77,A19)</f>
        <v>4</v>
      </c>
      <c r="G19" s="6">
        <f>COUNTIFS('Test Cases'!$B$6:$B$77,$A19,'Test Cases'!$K$6:$K$77,"Pass")</f>
        <v>0</v>
      </c>
      <c r="H19" s="6">
        <f>COUNTIFS('Test Cases'!$B$6:$B$77,$A19,'Test Cases'!$K$6:$K$77,"Fail")</f>
        <v>0</v>
      </c>
      <c r="I19" s="6">
        <f>COUNTIFS('Test Cases'!$B$6:$B$77,$A19,'Test Cases'!$K$6:$K$77,"Blocked")</f>
        <v>0</v>
      </c>
      <c r="J19" s="6">
        <f>COUNTIFS('Test Cases'!$B$6:$B$77,$A19,'Test Cases'!$K$6:$K$77,"Not Run")</f>
        <v>4</v>
      </c>
    </row>
    <row r="20" spans="1:10" x14ac:dyDescent="0.45">
      <c r="A20" s="6" t="s">
        <v>87</v>
      </c>
      <c r="B20" s="6" t="s">
        <v>88</v>
      </c>
      <c r="C20" s="2" t="s">
        <v>89</v>
      </c>
      <c r="D20" s="2" t="s">
        <v>90</v>
      </c>
      <c r="E20" s="6" t="s">
        <v>47</v>
      </c>
      <c r="F20" s="6">
        <f>COUNTIF('Test Cases'!$B$6:$B$77,A20)</f>
        <v>3</v>
      </c>
      <c r="G20" s="6">
        <f>COUNTIFS('Test Cases'!$B$6:$B$77,$A20,'Test Cases'!$K$6:$K$77,"Pass")</f>
        <v>0</v>
      </c>
      <c r="H20" s="6">
        <f>COUNTIFS('Test Cases'!$B$6:$B$77,$A20,'Test Cases'!$K$6:$K$77,"Fail")</f>
        <v>0</v>
      </c>
      <c r="I20" s="6">
        <f>COUNTIFS('Test Cases'!$B$6:$B$77,$A20,'Test Cases'!$K$6:$K$77,"Blocked")</f>
        <v>0</v>
      </c>
      <c r="J20" s="6">
        <f>COUNTIFS('Test Cases'!$B$6:$B$77,$A20,'Test Cases'!$K$6:$K$77,"Not Run")</f>
        <v>3</v>
      </c>
    </row>
    <row r="21" spans="1:10" x14ac:dyDescent="0.45">
      <c r="A21" s="6" t="s">
        <v>91</v>
      </c>
      <c r="B21" s="6" t="s">
        <v>88</v>
      </c>
      <c r="C21" s="2" t="s">
        <v>92</v>
      </c>
      <c r="D21" s="2" t="s">
        <v>90</v>
      </c>
      <c r="E21" s="6" t="s">
        <v>47</v>
      </c>
      <c r="F21" s="6">
        <f>COUNTIF('Test Cases'!$B$6:$B$77,A21)</f>
        <v>6</v>
      </c>
      <c r="G21" s="6">
        <f>COUNTIFS('Test Cases'!$B$6:$B$77,$A21,'Test Cases'!$K$6:$K$77,"Pass")</f>
        <v>0</v>
      </c>
      <c r="H21" s="6">
        <f>COUNTIFS('Test Cases'!$B$6:$B$77,$A21,'Test Cases'!$K$6:$K$77,"Fail")</f>
        <v>0</v>
      </c>
      <c r="I21" s="6">
        <f>COUNTIFS('Test Cases'!$B$6:$B$77,$A21,'Test Cases'!$K$6:$K$77,"Blocked")</f>
        <v>0</v>
      </c>
      <c r="J21" s="6">
        <f>COUNTIFS('Test Cases'!$B$6:$B$77,$A21,'Test Cases'!$K$6:$K$77,"Not Run")</f>
        <v>6</v>
      </c>
    </row>
    <row r="22" spans="1:10" x14ac:dyDescent="0.45">
      <c r="A22" s="6" t="s">
        <v>93</v>
      </c>
      <c r="B22" s="6" t="s">
        <v>88</v>
      </c>
      <c r="C22" s="2" t="s">
        <v>94</v>
      </c>
      <c r="D22" s="2" t="s">
        <v>55</v>
      </c>
      <c r="E22" s="6" t="s">
        <v>47</v>
      </c>
      <c r="F22" s="6">
        <f>COUNTIF('Test Cases'!$B$6:$B$77,A22)</f>
        <v>8</v>
      </c>
      <c r="G22" s="6">
        <f>COUNTIFS('Test Cases'!$B$6:$B$77,$A22,'Test Cases'!$K$6:$K$77,"Pass")</f>
        <v>0</v>
      </c>
      <c r="H22" s="6">
        <f>COUNTIFS('Test Cases'!$B$6:$B$77,$A22,'Test Cases'!$K$6:$K$77,"Fail")</f>
        <v>0</v>
      </c>
      <c r="I22" s="6">
        <f>COUNTIFS('Test Cases'!$B$6:$B$77,$A22,'Test Cases'!$K$6:$K$77,"Blocked")</f>
        <v>0</v>
      </c>
      <c r="J22" s="6">
        <f>COUNTIFS('Test Cases'!$B$6:$B$77,$A22,'Test Cases'!$K$6:$K$77,"Not Run")</f>
        <v>8</v>
      </c>
    </row>
    <row r="23" spans="1:10" ht="25.5" x14ac:dyDescent="0.45">
      <c r="A23" s="6" t="s">
        <v>95</v>
      </c>
      <c r="B23" s="6" t="s">
        <v>88</v>
      </c>
      <c r="C23" s="2" t="s">
        <v>96</v>
      </c>
      <c r="D23" s="2" t="s">
        <v>97</v>
      </c>
      <c r="E23" s="6" t="s">
        <v>47</v>
      </c>
      <c r="F23" s="6">
        <f>COUNTIF('Test Cases'!$B$6:$B$77,A23)</f>
        <v>3</v>
      </c>
      <c r="G23" s="6">
        <f>COUNTIFS('Test Cases'!$B$6:$B$77,$A23,'Test Cases'!$K$6:$K$77,"Pass")</f>
        <v>0</v>
      </c>
      <c r="H23" s="6">
        <f>COUNTIFS('Test Cases'!$B$6:$B$77,$A23,'Test Cases'!$K$6:$K$77,"Fail")</f>
        <v>0</v>
      </c>
      <c r="I23" s="6">
        <f>COUNTIFS('Test Cases'!$B$6:$B$77,$A23,'Test Cases'!$K$6:$K$77,"Blocked")</f>
        <v>0</v>
      </c>
      <c r="J23" s="6">
        <f>COUNTIFS('Test Cases'!$B$6:$B$77,$A23,'Test Cases'!$K$6:$K$77,"Not Run")</f>
        <v>3</v>
      </c>
    </row>
    <row r="24" spans="1:10" x14ac:dyDescent="0.45">
      <c r="A24" s="10"/>
      <c r="B24" s="10"/>
      <c r="C24" s="10" t="s">
        <v>98</v>
      </c>
      <c r="D24" s="10"/>
      <c r="E24" s="10"/>
      <c r="F24" s="8">
        <f>SUM(F5:F23)</f>
        <v>72</v>
      </c>
      <c r="G24" s="8">
        <f>SUM(G5:G23)</f>
        <v>0</v>
      </c>
      <c r="H24" s="8">
        <f>SUM(H5:H23)</f>
        <v>0</v>
      </c>
      <c r="I24" s="8">
        <f>SUM(I5:I23)</f>
        <v>0</v>
      </c>
      <c r="J24" s="8">
        <f>SUM(J5:J23)</f>
        <v>72</v>
      </c>
    </row>
  </sheetData>
  <mergeCells count="2">
    <mergeCell ref="A1:J1"/>
    <mergeCell ref="A2:J2"/>
  </mergeCells>
  <pageMargins left="0.7" right="0.7" top="0.75" bottom="0.75" header="0.3" footer="0.3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77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0" customWidth="1"/>
    <col min="2" max="2" width="8" customWidth="1"/>
    <col min="3" max="4" width="30" customWidth="1"/>
    <col min="5" max="5" width="44" customWidth="1"/>
    <col min="6" max="6" width="30" customWidth="1"/>
    <col min="7" max="7" width="44" customWidth="1"/>
    <col min="8" max="8" width="30" customWidth="1"/>
    <col min="9" max="9" width="10" customWidth="1"/>
    <col min="10" max="10" width="12" customWidth="1"/>
    <col min="11" max="11" width="10" customWidth="1"/>
    <col min="12" max="12" width="14" customWidth="1"/>
    <col min="13" max="14" width="12" customWidth="1"/>
    <col min="15" max="15" width="20" customWidth="1"/>
  </cols>
  <sheetData>
    <row r="1" spans="1:15" ht="17.25" x14ac:dyDescent="0.45">
      <c r="A1" s="25" t="s">
        <v>99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 x14ac:dyDescent="0.45">
      <c r="A2" s="26" t="s">
        <v>100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</row>
    <row r="4" spans="1:15" ht="24" customHeight="1" x14ac:dyDescent="0.45">
      <c r="A4" s="5" t="s">
        <v>101</v>
      </c>
      <c r="B4" s="5" t="s">
        <v>39</v>
      </c>
      <c r="C4" s="5" t="s">
        <v>42</v>
      </c>
      <c r="D4" s="5" t="s">
        <v>102</v>
      </c>
      <c r="E4" s="5" t="s">
        <v>103</v>
      </c>
      <c r="F4" s="5" t="s">
        <v>12</v>
      </c>
      <c r="G4" s="5" t="s">
        <v>104</v>
      </c>
      <c r="H4" s="5" t="s">
        <v>105</v>
      </c>
      <c r="I4" s="5" t="s">
        <v>41</v>
      </c>
      <c r="J4" s="5" t="s">
        <v>106</v>
      </c>
      <c r="K4" s="5" t="s">
        <v>21</v>
      </c>
      <c r="L4" s="5" t="s">
        <v>107</v>
      </c>
      <c r="M4" s="5" t="s">
        <v>108</v>
      </c>
      <c r="N4" s="5" t="s">
        <v>109</v>
      </c>
      <c r="O4" s="5" t="s">
        <v>110</v>
      </c>
    </row>
    <row r="5" spans="1:15" ht="25.5" x14ac:dyDescent="0.45">
      <c r="A5" s="11" t="s">
        <v>111</v>
      </c>
      <c r="B5" s="11" t="s">
        <v>112</v>
      </c>
      <c r="C5" s="12" t="s">
        <v>113</v>
      </c>
      <c r="D5" s="12" t="s">
        <v>114</v>
      </c>
      <c r="E5" s="12" t="s">
        <v>115</v>
      </c>
      <c r="F5" s="12" t="s">
        <v>116</v>
      </c>
      <c r="G5" s="12" t="s">
        <v>117</v>
      </c>
      <c r="H5" s="12" t="s">
        <v>118</v>
      </c>
      <c r="I5" s="11" t="s">
        <v>47</v>
      </c>
      <c r="J5" s="12" t="s">
        <v>119</v>
      </c>
      <c r="K5" s="11" t="s">
        <v>25</v>
      </c>
      <c r="L5" s="13">
        <v>46327.708333333328</v>
      </c>
      <c r="M5" s="12" t="s">
        <v>18</v>
      </c>
      <c r="N5" s="11" t="s">
        <v>18</v>
      </c>
      <c r="O5" s="12" t="s">
        <v>120</v>
      </c>
    </row>
    <row r="6" spans="1:15" ht="63.75" x14ac:dyDescent="0.45">
      <c r="A6" s="6" t="s">
        <v>121</v>
      </c>
      <c r="B6" s="6" t="s">
        <v>43</v>
      </c>
      <c r="C6" s="2" t="s">
        <v>122</v>
      </c>
      <c r="D6" s="2" t="s">
        <v>123</v>
      </c>
      <c r="E6" s="2" t="s">
        <v>124</v>
      </c>
      <c r="F6" s="2" t="s">
        <v>125</v>
      </c>
      <c r="G6" s="2" t="s">
        <v>126</v>
      </c>
      <c r="H6" s="3" t="s">
        <v>18</v>
      </c>
      <c r="I6" s="6" t="s">
        <v>47</v>
      </c>
      <c r="J6" s="3" t="s">
        <v>18</v>
      </c>
      <c r="K6" s="14" t="s">
        <v>24</v>
      </c>
      <c r="L6" s="15"/>
      <c r="M6" s="3" t="s">
        <v>18</v>
      </c>
      <c r="N6" s="14" t="s">
        <v>18</v>
      </c>
      <c r="O6" s="3" t="s">
        <v>18</v>
      </c>
    </row>
    <row r="7" spans="1:15" ht="25.5" x14ac:dyDescent="0.45">
      <c r="A7" s="6" t="s">
        <v>127</v>
      </c>
      <c r="B7" s="6" t="s">
        <v>43</v>
      </c>
      <c r="C7" s="2" t="s">
        <v>128</v>
      </c>
      <c r="D7" s="2" t="s">
        <v>129</v>
      </c>
      <c r="E7" s="2" t="s">
        <v>130</v>
      </c>
      <c r="F7" s="2" t="s">
        <v>131</v>
      </c>
      <c r="G7" s="2" t="s">
        <v>132</v>
      </c>
      <c r="H7" s="3" t="s">
        <v>18</v>
      </c>
      <c r="I7" s="6" t="s">
        <v>47</v>
      </c>
      <c r="J7" s="3" t="s">
        <v>18</v>
      </c>
      <c r="K7" s="14" t="s">
        <v>24</v>
      </c>
      <c r="L7" s="15"/>
      <c r="M7" s="3" t="s">
        <v>18</v>
      </c>
      <c r="N7" s="14" t="s">
        <v>18</v>
      </c>
      <c r="O7" s="3" t="s">
        <v>18</v>
      </c>
    </row>
    <row r="8" spans="1:15" ht="25.5" x14ac:dyDescent="0.45">
      <c r="A8" s="6" t="s">
        <v>133</v>
      </c>
      <c r="B8" s="6" t="s">
        <v>43</v>
      </c>
      <c r="C8" s="2" t="s">
        <v>134</v>
      </c>
      <c r="D8" s="2" t="s">
        <v>135</v>
      </c>
      <c r="E8" s="2" t="s">
        <v>136</v>
      </c>
      <c r="F8" s="2" t="s">
        <v>137</v>
      </c>
      <c r="G8" s="2" t="s">
        <v>138</v>
      </c>
      <c r="H8" s="3" t="s">
        <v>18</v>
      </c>
      <c r="I8" s="6" t="s">
        <v>47</v>
      </c>
      <c r="J8" s="3" t="s">
        <v>18</v>
      </c>
      <c r="K8" s="14" t="s">
        <v>24</v>
      </c>
      <c r="L8" s="15"/>
      <c r="M8" s="3" t="s">
        <v>18</v>
      </c>
      <c r="N8" s="14" t="s">
        <v>18</v>
      </c>
      <c r="O8" s="3" t="s">
        <v>18</v>
      </c>
    </row>
    <row r="9" spans="1:15" ht="38.25" x14ac:dyDescent="0.45">
      <c r="A9" s="6" t="s">
        <v>139</v>
      </c>
      <c r="B9" s="6" t="s">
        <v>43</v>
      </c>
      <c r="C9" s="2" t="s">
        <v>140</v>
      </c>
      <c r="D9" s="2" t="s">
        <v>141</v>
      </c>
      <c r="E9" s="2" t="s">
        <v>142</v>
      </c>
      <c r="F9" s="2" t="s">
        <v>143</v>
      </c>
      <c r="G9" s="2" t="s">
        <v>144</v>
      </c>
      <c r="H9" s="3" t="s">
        <v>18</v>
      </c>
      <c r="I9" s="6" t="s">
        <v>47</v>
      </c>
      <c r="J9" s="3" t="s">
        <v>18</v>
      </c>
      <c r="K9" s="14" t="s">
        <v>24</v>
      </c>
      <c r="L9" s="15"/>
      <c r="M9" s="3" t="s">
        <v>18</v>
      </c>
      <c r="N9" s="14" t="s">
        <v>18</v>
      </c>
      <c r="O9" s="3" t="s">
        <v>18</v>
      </c>
    </row>
    <row r="10" spans="1:15" ht="25.5" x14ac:dyDescent="0.45">
      <c r="A10" s="6" t="s">
        <v>145</v>
      </c>
      <c r="B10" s="6" t="s">
        <v>48</v>
      </c>
      <c r="C10" s="2" t="s">
        <v>146</v>
      </c>
      <c r="D10" s="2" t="s">
        <v>147</v>
      </c>
      <c r="E10" s="2" t="s">
        <v>148</v>
      </c>
      <c r="F10" s="2" t="s">
        <v>149</v>
      </c>
      <c r="G10" s="2" t="s">
        <v>150</v>
      </c>
      <c r="H10" s="3" t="s">
        <v>18</v>
      </c>
      <c r="I10" s="6" t="s">
        <v>47</v>
      </c>
      <c r="J10" s="3" t="s">
        <v>18</v>
      </c>
      <c r="K10" s="14" t="s">
        <v>24</v>
      </c>
      <c r="L10" s="15"/>
      <c r="M10" s="3" t="s">
        <v>18</v>
      </c>
      <c r="N10" s="14" t="s">
        <v>18</v>
      </c>
      <c r="O10" s="3" t="s">
        <v>18</v>
      </c>
    </row>
    <row r="11" spans="1:15" ht="89.25" x14ac:dyDescent="0.45">
      <c r="A11" s="6" t="s">
        <v>151</v>
      </c>
      <c r="B11" s="6" t="s">
        <v>48</v>
      </c>
      <c r="C11" s="2" t="s">
        <v>152</v>
      </c>
      <c r="D11" s="2" t="s">
        <v>135</v>
      </c>
      <c r="E11" s="2" t="s">
        <v>153</v>
      </c>
      <c r="F11" s="2" t="s">
        <v>154</v>
      </c>
      <c r="G11" s="2" t="s">
        <v>155</v>
      </c>
      <c r="H11" s="3" t="s">
        <v>18</v>
      </c>
      <c r="I11" s="6" t="s">
        <v>47</v>
      </c>
      <c r="J11" s="3" t="s">
        <v>18</v>
      </c>
      <c r="K11" s="14" t="s">
        <v>24</v>
      </c>
      <c r="L11" s="15"/>
      <c r="M11" s="3" t="s">
        <v>18</v>
      </c>
      <c r="N11" s="14" t="s">
        <v>18</v>
      </c>
      <c r="O11" s="3" t="s">
        <v>18</v>
      </c>
    </row>
    <row r="12" spans="1:15" ht="38.25" x14ac:dyDescent="0.45">
      <c r="A12" s="6" t="s">
        <v>156</v>
      </c>
      <c r="B12" s="6" t="s">
        <v>48</v>
      </c>
      <c r="C12" s="2" t="s">
        <v>157</v>
      </c>
      <c r="D12" s="2" t="s">
        <v>135</v>
      </c>
      <c r="E12" s="2" t="s">
        <v>158</v>
      </c>
      <c r="F12" s="2" t="s">
        <v>159</v>
      </c>
      <c r="G12" s="2" t="s">
        <v>160</v>
      </c>
      <c r="H12" s="3" t="s">
        <v>18</v>
      </c>
      <c r="I12" s="6" t="s">
        <v>47</v>
      </c>
      <c r="J12" s="3" t="s">
        <v>18</v>
      </c>
      <c r="K12" s="14" t="s">
        <v>24</v>
      </c>
      <c r="L12" s="15"/>
      <c r="M12" s="3" t="s">
        <v>18</v>
      </c>
      <c r="N12" s="14" t="s">
        <v>18</v>
      </c>
      <c r="O12" s="3" t="s">
        <v>18</v>
      </c>
    </row>
    <row r="13" spans="1:15" ht="38.25" x14ac:dyDescent="0.45">
      <c r="A13" s="6" t="s">
        <v>161</v>
      </c>
      <c r="B13" s="6" t="s">
        <v>50</v>
      </c>
      <c r="C13" s="2" t="s">
        <v>162</v>
      </c>
      <c r="D13" s="2" t="s">
        <v>135</v>
      </c>
      <c r="E13" s="2" t="s">
        <v>163</v>
      </c>
      <c r="F13" s="2" t="s">
        <v>164</v>
      </c>
      <c r="G13" s="2" t="s">
        <v>165</v>
      </c>
      <c r="H13" s="3" t="s">
        <v>18</v>
      </c>
      <c r="I13" s="6" t="s">
        <v>47</v>
      </c>
      <c r="J13" s="3" t="s">
        <v>18</v>
      </c>
      <c r="K13" s="14" t="s">
        <v>24</v>
      </c>
      <c r="L13" s="15"/>
      <c r="M13" s="3" t="s">
        <v>18</v>
      </c>
      <c r="N13" s="14" t="s">
        <v>18</v>
      </c>
      <c r="O13" s="3" t="s">
        <v>18</v>
      </c>
    </row>
    <row r="14" spans="1:15" ht="25.5" x14ac:dyDescent="0.45">
      <c r="A14" s="6" t="s">
        <v>166</v>
      </c>
      <c r="B14" s="6" t="s">
        <v>50</v>
      </c>
      <c r="C14" s="2" t="s">
        <v>167</v>
      </c>
      <c r="D14" s="2" t="s">
        <v>135</v>
      </c>
      <c r="E14" s="2" t="s">
        <v>168</v>
      </c>
      <c r="F14" s="2" t="s">
        <v>169</v>
      </c>
      <c r="G14" s="2" t="s">
        <v>170</v>
      </c>
      <c r="H14" s="3" t="s">
        <v>18</v>
      </c>
      <c r="I14" s="6" t="s">
        <v>47</v>
      </c>
      <c r="J14" s="3" t="s">
        <v>18</v>
      </c>
      <c r="K14" s="14" t="s">
        <v>24</v>
      </c>
      <c r="L14" s="15"/>
      <c r="M14" s="3" t="s">
        <v>18</v>
      </c>
      <c r="N14" s="14" t="s">
        <v>18</v>
      </c>
      <c r="O14" s="3" t="s">
        <v>18</v>
      </c>
    </row>
    <row r="15" spans="1:15" ht="25.5" x14ac:dyDescent="0.45">
      <c r="A15" s="6" t="s">
        <v>171</v>
      </c>
      <c r="B15" s="6" t="s">
        <v>50</v>
      </c>
      <c r="C15" s="2" t="s">
        <v>172</v>
      </c>
      <c r="D15" s="2" t="s">
        <v>135</v>
      </c>
      <c r="E15" s="2" t="s">
        <v>173</v>
      </c>
      <c r="F15" s="2" t="s">
        <v>174</v>
      </c>
      <c r="G15" s="2" t="s">
        <v>175</v>
      </c>
      <c r="H15" s="3" t="s">
        <v>18</v>
      </c>
      <c r="I15" s="6" t="s">
        <v>47</v>
      </c>
      <c r="J15" s="3" t="s">
        <v>18</v>
      </c>
      <c r="K15" s="14" t="s">
        <v>24</v>
      </c>
      <c r="L15" s="15"/>
      <c r="M15" s="3" t="s">
        <v>18</v>
      </c>
      <c r="N15" s="14" t="s">
        <v>18</v>
      </c>
      <c r="O15" s="3" t="s">
        <v>18</v>
      </c>
    </row>
    <row r="16" spans="1:15" ht="25.5" x14ac:dyDescent="0.45">
      <c r="A16" s="6" t="s">
        <v>176</v>
      </c>
      <c r="B16" s="6" t="s">
        <v>50</v>
      </c>
      <c r="C16" s="2" t="s">
        <v>177</v>
      </c>
      <c r="D16" s="2" t="s">
        <v>135</v>
      </c>
      <c r="E16" s="2" t="s">
        <v>178</v>
      </c>
      <c r="F16" s="2" t="s">
        <v>179</v>
      </c>
      <c r="G16" s="2" t="s">
        <v>180</v>
      </c>
      <c r="H16" s="3" t="s">
        <v>18</v>
      </c>
      <c r="I16" s="6" t="s">
        <v>47</v>
      </c>
      <c r="J16" s="3" t="s">
        <v>18</v>
      </c>
      <c r="K16" s="14" t="s">
        <v>24</v>
      </c>
      <c r="L16" s="15"/>
      <c r="M16" s="3" t="s">
        <v>18</v>
      </c>
      <c r="N16" s="14" t="s">
        <v>18</v>
      </c>
      <c r="O16" s="3" t="s">
        <v>18</v>
      </c>
    </row>
    <row r="17" spans="1:15" ht="51" x14ac:dyDescent="0.45">
      <c r="A17" s="6" t="s">
        <v>181</v>
      </c>
      <c r="B17" s="6" t="s">
        <v>50</v>
      </c>
      <c r="C17" s="2" t="s">
        <v>182</v>
      </c>
      <c r="D17" s="2" t="s">
        <v>183</v>
      </c>
      <c r="E17" s="2" t="s">
        <v>184</v>
      </c>
      <c r="F17" s="2" t="s">
        <v>185</v>
      </c>
      <c r="G17" s="2" t="s">
        <v>186</v>
      </c>
      <c r="H17" s="3" t="s">
        <v>18</v>
      </c>
      <c r="I17" s="6" t="s">
        <v>47</v>
      </c>
      <c r="J17" s="3" t="s">
        <v>18</v>
      </c>
      <c r="K17" s="14" t="s">
        <v>24</v>
      </c>
      <c r="L17" s="15"/>
      <c r="M17" s="3" t="s">
        <v>18</v>
      </c>
      <c r="N17" s="14" t="s">
        <v>18</v>
      </c>
      <c r="O17" s="3" t="s">
        <v>18</v>
      </c>
    </row>
    <row r="18" spans="1:15" ht="25.5" x14ac:dyDescent="0.45">
      <c r="A18" s="6" t="s">
        <v>187</v>
      </c>
      <c r="B18" s="6" t="s">
        <v>53</v>
      </c>
      <c r="C18" s="2" t="s">
        <v>188</v>
      </c>
      <c r="D18" s="2" t="s">
        <v>189</v>
      </c>
      <c r="E18" s="2" t="s">
        <v>190</v>
      </c>
      <c r="F18" s="2" t="s">
        <v>191</v>
      </c>
      <c r="G18" s="2" t="s">
        <v>192</v>
      </c>
      <c r="H18" s="3" t="s">
        <v>18</v>
      </c>
      <c r="I18" s="6" t="s">
        <v>47</v>
      </c>
      <c r="J18" s="3" t="s">
        <v>18</v>
      </c>
      <c r="K18" s="14" t="s">
        <v>24</v>
      </c>
      <c r="L18" s="15"/>
      <c r="M18" s="3" t="s">
        <v>18</v>
      </c>
      <c r="N18" s="14" t="s">
        <v>18</v>
      </c>
      <c r="O18" s="3" t="s">
        <v>18</v>
      </c>
    </row>
    <row r="19" spans="1:15" ht="51" x14ac:dyDescent="0.45">
      <c r="A19" s="6" t="s">
        <v>193</v>
      </c>
      <c r="B19" s="6" t="s">
        <v>53</v>
      </c>
      <c r="C19" s="2" t="s">
        <v>194</v>
      </c>
      <c r="D19" s="2" t="s">
        <v>195</v>
      </c>
      <c r="E19" s="2" t="s">
        <v>196</v>
      </c>
      <c r="F19" s="2" t="s">
        <v>197</v>
      </c>
      <c r="G19" s="2" t="s">
        <v>198</v>
      </c>
      <c r="H19" s="3" t="s">
        <v>18</v>
      </c>
      <c r="I19" s="6" t="s">
        <v>47</v>
      </c>
      <c r="J19" s="3" t="s">
        <v>18</v>
      </c>
      <c r="K19" s="14" t="s">
        <v>24</v>
      </c>
      <c r="L19" s="15"/>
      <c r="M19" s="3" t="s">
        <v>18</v>
      </c>
      <c r="N19" s="14" t="s">
        <v>18</v>
      </c>
      <c r="O19" s="3" t="s">
        <v>18</v>
      </c>
    </row>
    <row r="20" spans="1:15" ht="25.5" x14ac:dyDescent="0.45">
      <c r="A20" s="6" t="s">
        <v>199</v>
      </c>
      <c r="B20" s="6" t="s">
        <v>53</v>
      </c>
      <c r="C20" s="2" t="s">
        <v>200</v>
      </c>
      <c r="D20" s="2" t="s">
        <v>201</v>
      </c>
      <c r="E20" s="2" t="s">
        <v>202</v>
      </c>
      <c r="F20" s="2" t="s">
        <v>203</v>
      </c>
      <c r="G20" s="2" t="s">
        <v>204</v>
      </c>
      <c r="H20" s="3" t="s">
        <v>18</v>
      </c>
      <c r="I20" s="6" t="s">
        <v>47</v>
      </c>
      <c r="J20" s="3" t="s">
        <v>18</v>
      </c>
      <c r="K20" s="14" t="s">
        <v>24</v>
      </c>
      <c r="L20" s="15"/>
      <c r="M20" s="3" t="s">
        <v>18</v>
      </c>
      <c r="N20" s="14" t="s">
        <v>18</v>
      </c>
      <c r="O20" s="3" t="s">
        <v>18</v>
      </c>
    </row>
    <row r="21" spans="1:15" ht="25.5" x14ac:dyDescent="0.45">
      <c r="A21" s="6" t="s">
        <v>205</v>
      </c>
      <c r="B21" s="6" t="s">
        <v>53</v>
      </c>
      <c r="C21" s="2" t="s">
        <v>206</v>
      </c>
      <c r="D21" s="2" t="s">
        <v>207</v>
      </c>
      <c r="E21" s="2" t="s">
        <v>208</v>
      </c>
      <c r="F21" s="2" t="s">
        <v>209</v>
      </c>
      <c r="G21" s="2" t="s">
        <v>210</v>
      </c>
      <c r="H21" s="3" t="s">
        <v>18</v>
      </c>
      <c r="I21" s="6" t="s">
        <v>47</v>
      </c>
      <c r="J21" s="3" t="s">
        <v>18</v>
      </c>
      <c r="K21" s="14" t="s">
        <v>24</v>
      </c>
      <c r="L21" s="15"/>
      <c r="M21" s="3" t="s">
        <v>18</v>
      </c>
      <c r="N21" s="14" t="s">
        <v>18</v>
      </c>
      <c r="O21" s="3" t="s">
        <v>18</v>
      </c>
    </row>
    <row r="22" spans="1:15" ht="51" x14ac:dyDescent="0.45">
      <c r="A22" s="6" t="s">
        <v>211</v>
      </c>
      <c r="B22" s="6" t="s">
        <v>56</v>
      </c>
      <c r="C22" s="2" t="s">
        <v>212</v>
      </c>
      <c r="D22" s="2" t="s">
        <v>213</v>
      </c>
      <c r="E22" s="2" t="s">
        <v>214</v>
      </c>
      <c r="F22" s="2" t="s">
        <v>215</v>
      </c>
      <c r="G22" s="2" t="s">
        <v>216</v>
      </c>
      <c r="H22" s="3" t="s">
        <v>18</v>
      </c>
      <c r="I22" s="6" t="s">
        <v>58</v>
      </c>
      <c r="J22" s="3" t="s">
        <v>18</v>
      </c>
      <c r="K22" s="14" t="s">
        <v>24</v>
      </c>
      <c r="L22" s="15"/>
      <c r="M22" s="3" t="s">
        <v>18</v>
      </c>
      <c r="N22" s="14" t="s">
        <v>18</v>
      </c>
      <c r="O22" s="3" t="s">
        <v>18</v>
      </c>
    </row>
    <row r="23" spans="1:15" ht="25.5" x14ac:dyDescent="0.45">
      <c r="A23" s="6" t="s">
        <v>217</v>
      </c>
      <c r="B23" s="6" t="s">
        <v>56</v>
      </c>
      <c r="C23" s="2" t="s">
        <v>218</v>
      </c>
      <c r="D23" s="2" t="s">
        <v>219</v>
      </c>
      <c r="E23" s="2" t="s">
        <v>220</v>
      </c>
      <c r="F23" s="2" t="s">
        <v>18</v>
      </c>
      <c r="G23" s="2" t="s">
        <v>221</v>
      </c>
      <c r="H23" s="3" t="s">
        <v>18</v>
      </c>
      <c r="I23" s="6" t="s">
        <v>58</v>
      </c>
      <c r="J23" s="3" t="s">
        <v>18</v>
      </c>
      <c r="K23" s="14" t="s">
        <v>24</v>
      </c>
      <c r="L23" s="15"/>
      <c r="M23" s="3" t="s">
        <v>18</v>
      </c>
      <c r="N23" s="14" t="s">
        <v>18</v>
      </c>
      <c r="O23" s="3" t="s">
        <v>18</v>
      </c>
    </row>
    <row r="24" spans="1:15" ht="51" x14ac:dyDescent="0.45">
      <c r="A24" s="6" t="s">
        <v>222</v>
      </c>
      <c r="B24" s="6" t="s">
        <v>59</v>
      </c>
      <c r="C24" s="2" t="s">
        <v>223</v>
      </c>
      <c r="D24" s="2" t="s">
        <v>224</v>
      </c>
      <c r="E24" s="2" t="s">
        <v>225</v>
      </c>
      <c r="F24" s="2" t="s">
        <v>226</v>
      </c>
      <c r="G24" s="2" t="s">
        <v>227</v>
      </c>
      <c r="H24" s="3" t="s">
        <v>18</v>
      </c>
      <c r="I24" s="6" t="s">
        <v>47</v>
      </c>
      <c r="J24" s="3" t="s">
        <v>18</v>
      </c>
      <c r="K24" s="14" t="s">
        <v>24</v>
      </c>
      <c r="L24" s="15"/>
      <c r="M24" s="3" t="s">
        <v>18</v>
      </c>
      <c r="N24" s="14" t="s">
        <v>18</v>
      </c>
      <c r="O24" s="3" t="s">
        <v>18</v>
      </c>
    </row>
    <row r="25" spans="1:15" ht="25.5" x14ac:dyDescent="0.45">
      <c r="A25" s="6" t="s">
        <v>228</v>
      </c>
      <c r="B25" s="6" t="s">
        <v>59</v>
      </c>
      <c r="C25" s="2" t="s">
        <v>229</v>
      </c>
      <c r="D25" s="2" t="s">
        <v>230</v>
      </c>
      <c r="E25" s="2" t="s">
        <v>231</v>
      </c>
      <c r="F25" s="2" t="s">
        <v>232</v>
      </c>
      <c r="G25" s="2" t="s">
        <v>233</v>
      </c>
      <c r="H25" s="3" t="s">
        <v>18</v>
      </c>
      <c r="I25" s="6" t="s">
        <v>47</v>
      </c>
      <c r="J25" s="3" t="s">
        <v>18</v>
      </c>
      <c r="K25" s="14" t="s">
        <v>24</v>
      </c>
      <c r="L25" s="15"/>
      <c r="M25" s="3" t="s">
        <v>18</v>
      </c>
      <c r="N25" s="14" t="s">
        <v>18</v>
      </c>
      <c r="O25" s="3" t="s">
        <v>18</v>
      </c>
    </row>
    <row r="26" spans="1:15" ht="25.5" x14ac:dyDescent="0.45">
      <c r="A26" s="6" t="s">
        <v>234</v>
      </c>
      <c r="B26" s="6" t="s">
        <v>59</v>
      </c>
      <c r="C26" s="2" t="s">
        <v>235</v>
      </c>
      <c r="D26" s="2" t="s">
        <v>236</v>
      </c>
      <c r="E26" s="2" t="s">
        <v>237</v>
      </c>
      <c r="F26" s="2" t="s">
        <v>18</v>
      </c>
      <c r="G26" s="2" t="s">
        <v>238</v>
      </c>
      <c r="H26" s="3" t="s">
        <v>18</v>
      </c>
      <c r="I26" s="6" t="s">
        <v>47</v>
      </c>
      <c r="J26" s="3" t="s">
        <v>18</v>
      </c>
      <c r="K26" s="14" t="s">
        <v>24</v>
      </c>
      <c r="L26" s="15"/>
      <c r="M26" s="3" t="s">
        <v>18</v>
      </c>
      <c r="N26" s="14" t="s">
        <v>18</v>
      </c>
      <c r="O26" s="3" t="s">
        <v>18</v>
      </c>
    </row>
    <row r="27" spans="1:15" ht="38.25" x14ac:dyDescent="0.45">
      <c r="A27" s="6" t="s">
        <v>239</v>
      </c>
      <c r="B27" s="6" t="s">
        <v>59</v>
      </c>
      <c r="C27" s="2" t="s">
        <v>240</v>
      </c>
      <c r="D27" s="2" t="s">
        <v>241</v>
      </c>
      <c r="E27" s="2" t="s">
        <v>242</v>
      </c>
      <c r="F27" s="2" t="s">
        <v>18</v>
      </c>
      <c r="G27" s="2" t="s">
        <v>243</v>
      </c>
      <c r="H27" s="3" t="s">
        <v>18</v>
      </c>
      <c r="I27" s="6" t="s">
        <v>47</v>
      </c>
      <c r="J27" s="3" t="s">
        <v>18</v>
      </c>
      <c r="K27" s="14" t="s">
        <v>24</v>
      </c>
      <c r="L27" s="15"/>
      <c r="M27" s="3" t="s">
        <v>18</v>
      </c>
      <c r="N27" s="14" t="s">
        <v>18</v>
      </c>
      <c r="O27" s="3" t="s">
        <v>18</v>
      </c>
    </row>
    <row r="28" spans="1:15" ht="51" x14ac:dyDescent="0.45">
      <c r="A28" s="6" t="s">
        <v>244</v>
      </c>
      <c r="B28" s="6" t="s">
        <v>62</v>
      </c>
      <c r="C28" s="2" t="s">
        <v>245</v>
      </c>
      <c r="D28" s="2" t="s">
        <v>246</v>
      </c>
      <c r="E28" s="2" t="s">
        <v>247</v>
      </c>
      <c r="F28" s="2" t="s">
        <v>248</v>
      </c>
      <c r="G28" s="2" t="s">
        <v>249</v>
      </c>
      <c r="H28" s="3" t="s">
        <v>18</v>
      </c>
      <c r="I28" s="6" t="s">
        <v>47</v>
      </c>
      <c r="J28" s="3" t="s">
        <v>18</v>
      </c>
      <c r="K28" s="14" t="s">
        <v>24</v>
      </c>
      <c r="L28" s="15"/>
      <c r="M28" s="3" t="s">
        <v>18</v>
      </c>
      <c r="N28" s="14" t="s">
        <v>18</v>
      </c>
      <c r="O28" s="3" t="s">
        <v>18</v>
      </c>
    </row>
    <row r="29" spans="1:15" ht="38.25" x14ac:dyDescent="0.45">
      <c r="A29" s="6" t="s">
        <v>250</v>
      </c>
      <c r="B29" s="6" t="s">
        <v>62</v>
      </c>
      <c r="C29" s="2" t="s">
        <v>251</v>
      </c>
      <c r="D29" s="2" t="s">
        <v>252</v>
      </c>
      <c r="E29" s="2" t="s">
        <v>253</v>
      </c>
      <c r="F29" s="2" t="s">
        <v>254</v>
      </c>
      <c r="G29" s="2" t="s">
        <v>255</v>
      </c>
      <c r="H29" s="3" t="s">
        <v>18</v>
      </c>
      <c r="I29" s="6" t="s">
        <v>47</v>
      </c>
      <c r="J29" s="3" t="s">
        <v>18</v>
      </c>
      <c r="K29" s="14" t="s">
        <v>24</v>
      </c>
      <c r="L29" s="15"/>
      <c r="M29" s="3" t="s">
        <v>18</v>
      </c>
      <c r="N29" s="14" t="s">
        <v>18</v>
      </c>
      <c r="O29" s="3" t="s">
        <v>18</v>
      </c>
    </row>
    <row r="30" spans="1:15" ht="38.25" x14ac:dyDescent="0.45">
      <c r="A30" s="6" t="s">
        <v>256</v>
      </c>
      <c r="B30" s="6" t="s">
        <v>62</v>
      </c>
      <c r="C30" s="2" t="s">
        <v>257</v>
      </c>
      <c r="D30" s="2" t="s">
        <v>258</v>
      </c>
      <c r="E30" s="2" t="s">
        <v>259</v>
      </c>
      <c r="F30" s="2" t="s">
        <v>260</v>
      </c>
      <c r="G30" s="2" t="s">
        <v>261</v>
      </c>
      <c r="H30" s="3" t="s">
        <v>18</v>
      </c>
      <c r="I30" s="6" t="s">
        <v>47</v>
      </c>
      <c r="J30" s="3" t="s">
        <v>18</v>
      </c>
      <c r="K30" s="14" t="s">
        <v>24</v>
      </c>
      <c r="L30" s="15"/>
      <c r="M30" s="3" t="s">
        <v>18</v>
      </c>
      <c r="N30" s="14" t="s">
        <v>18</v>
      </c>
      <c r="O30" s="3" t="s">
        <v>18</v>
      </c>
    </row>
    <row r="31" spans="1:15" ht="51" x14ac:dyDescent="0.45">
      <c r="A31" s="6" t="s">
        <v>262</v>
      </c>
      <c r="B31" s="6" t="s">
        <v>62</v>
      </c>
      <c r="C31" s="2" t="s">
        <v>263</v>
      </c>
      <c r="D31" s="2" t="s">
        <v>264</v>
      </c>
      <c r="E31" s="2" t="s">
        <v>265</v>
      </c>
      <c r="F31" s="2" t="s">
        <v>18</v>
      </c>
      <c r="G31" s="2" t="s">
        <v>266</v>
      </c>
      <c r="H31" s="3" t="s">
        <v>18</v>
      </c>
      <c r="I31" s="6" t="s">
        <v>47</v>
      </c>
      <c r="J31" s="3" t="s">
        <v>18</v>
      </c>
      <c r="K31" s="14" t="s">
        <v>24</v>
      </c>
      <c r="L31" s="15"/>
      <c r="M31" s="3" t="s">
        <v>18</v>
      </c>
      <c r="N31" s="14" t="s">
        <v>18</v>
      </c>
      <c r="O31" s="3" t="s">
        <v>18</v>
      </c>
    </row>
    <row r="32" spans="1:15" ht="25.5" x14ac:dyDescent="0.45">
      <c r="A32" s="6" t="s">
        <v>267</v>
      </c>
      <c r="B32" s="6" t="s">
        <v>64</v>
      </c>
      <c r="C32" s="2" t="s">
        <v>268</v>
      </c>
      <c r="D32" s="2" t="s">
        <v>269</v>
      </c>
      <c r="E32" s="2" t="s">
        <v>270</v>
      </c>
      <c r="F32" s="2" t="s">
        <v>18</v>
      </c>
      <c r="G32" s="2" t="s">
        <v>271</v>
      </c>
      <c r="H32" s="3" t="s">
        <v>18</v>
      </c>
      <c r="I32" s="6" t="s">
        <v>58</v>
      </c>
      <c r="J32" s="3" t="s">
        <v>18</v>
      </c>
      <c r="K32" s="14" t="s">
        <v>24</v>
      </c>
      <c r="L32" s="15"/>
      <c r="M32" s="3" t="s">
        <v>18</v>
      </c>
      <c r="N32" s="14" t="s">
        <v>18</v>
      </c>
      <c r="O32" s="3" t="s">
        <v>18</v>
      </c>
    </row>
    <row r="33" spans="1:15" ht="76.5" x14ac:dyDescent="0.45">
      <c r="A33" s="6" t="s">
        <v>272</v>
      </c>
      <c r="B33" s="6" t="s">
        <v>66</v>
      </c>
      <c r="C33" s="2" t="s">
        <v>273</v>
      </c>
      <c r="D33" s="2" t="s">
        <v>274</v>
      </c>
      <c r="E33" s="2" t="s">
        <v>275</v>
      </c>
      <c r="F33" s="2" t="s">
        <v>276</v>
      </c>
      <c r="G33" s="2" t="s">
        <v>277</v>
      </c>
      <c r="H33" s="3" t="s">
        <v>18</v>
      </c>
      <c r="I33" s="6" t="s">
        <v>47</v>
      </c>
      <c r="J33" s="3" t="s">
        <v>18</v>
      </c>
      <c r="K33" s="14" t="s">
        <v>24</v>
      </c>
      <c r="L33" s="15"/>
      <c r="M33" s="3" t="s">
        <v>18</v>
      </c>
      <c r="N33" s="14" t="s">
        <v>18</v>
      </c>
      <c r="O33" s="3" t="s">
        <v>18</v>
      </c>
    </row>
    <row r="34" spans="1:15" ht="51" x14ac:dyDescent="0.45">
      <c r="A34" s="6" t="s">
        <v>278</v>
      </c>
      <c r="B34" s="6" t="s">
        <v>66</v>
      </c>
      <c r="C34" s="2" t="s">
        <v>279</v>
      </c>
      <c r="D34" s="2" t="s">
        <v>280</v>
      </c>
      <c r="E34" s="2" t="s">
        <v>281</v>
      </c>
      <c r="F34" s="2" t="s">
        <v>282</v>
      </c>
      <c r="G34" s="2" t="s">
        <v>283</v>
      </c>
      <c r="H34" s="3" t="s">
        <v>18</v>
      </c>
      <c r="I34" s="6" t="s">
        <v>47</v>
      </c>
      <c r="J34" s="3" t="s">
        <v>18</v>
      </c>
      <c r="K34" s="14" t="s">
        <v>24</v>
      </c>
      <c r="L34" s="15"/>
      <c r="M34" s="3" t="s">
        <v>18</v>
      </c>
      <c r="N34" s="14" t="s">
        <v>18</v>
      </c>
      <c r="O34" s="3" t="s">
        <v>18</v>
      </c>
    </row>
    <row r="35" spans="1:15" ht="38.25" x14ac:dyDescent="0.45">
      <c r="A35" s="6" t="s">
        <v>284</v>
      </c>
      <c r="B35" s="6" t="s">
        <v>66</v>
      </c>
      <c r="C35" s="2" t="s">
        <v>285</v>
      </c>
      <c r="D35" s="2" t="s">
        <v>286</v>
      </c>
      <c r="E35" s="2" t="s">
        <v>287</v>
      </c>
      <c r="F35" s="2" t="s">
        <v>288</v>
      </c>
      <c r="G35" s="2" t="s">
        <v>289</v>
      </c>
      <c r="H35" s="3" t="s">
        <v>18</v>
      </c>
      <c r="I35" s="6" t="s">
        <v>47</v>
      </c>
      <c r="J35" s="3" t="s">
        <v>18</v>
      </c>
      <c r="K35" s="14" t="s">
        <v>24</v>
      </c>
      <c r="L35" s="15"/>
      <c r="M35" s="3" t="s">
        <v>18</v>
      </c>
      <c r="N35" s="14" t="s">
        <v>18</v>
      </c>
      <c r="O35" s="3" t="s">
        <v>18</v>
      </c>
    </row>
    <row r="36" spans="1:15" ht="76.5" x14ac:dyDescent="0.45">
      <c r="A36" s="6" t="s">
        <v>290</v>
      </c>
      <c r="B36" s="6" t="s">
        <v>69</v>
      </c>
      <c r="C36" s="2" t="s">
        <v>291</v>
      </c>
      <c r="D36" s="2" t="s">
        <v>292</v>
      </c>
      <c r="E36" s="2" t="s">
        <v>293</v>
      </c>
      <c r="F36" s="2" t="s">
        <v>294</v>
      </c>
      <c r="G36" s="2" t="s">
        <v>295</v>
      </c>
      <c r="H36" s="3" t="s">
        <v>18</v>
      </c>
      <c r="I36" s="6" t="s">
        <v>47</v>
      </c>
      <c r="J36" s="3" t="s">
        <v>18</v>
      </c>
      <c r="K36" s="14" t="s">
        <v>24</v>
      </c>
      <c r="L36" s="15"/>
      <c r="M36" s="3" t="s">
        <v>18</v>
      </c>
      <c r="N36" s="14" t="s">
        <v>18</v>
      </c>
      <c r="O36" s="3" t="s">
        <v>18</v>
      </c>
    </row>
    <row r="37" spans="1:15" x14ac:dyDescent="0.45">
      <c r="A37" s="6" t="s">
        <v>296</v>
      </c>
      <c r="B37" s="6" t="s">
        <v>69</v>
      </c>
      <c r="C37" s="2" t="s">
        <v>297</v>
      </c>
      <c r="D37" s="2" t="s">
        <v>298</v>
      </c>
      <c r="E37" s="2" t="s">
        <v>299</v>
      </c>
      <c r="F37" s="2" t="s">
        <v>294</v>
      </c>
      <c r="G37" s="2" t="s">
        <v>300</v>
      </c>
      <c r="H37" s="3" t="s">
        <v>18</v>
      </c>
      <c r="I37" s="6" t="s">
        <v>47</v>
      </c>
      <c r="J37" s="3" t="s">
        <v>18</v>
      </c>
      <c r="K37" s="14" t="s">
        <v>24</v>
      </c>
      <c r="L37" s="15"/>
      <c r="M37" s="3" t="s">
        <v>18</v>
      </c>
      <c r="N37" s="14" t="s">
        <v>18</v>
      </c>
      <c r="O37" s="3" t="s">
        <v>18</v>
      </c>
    </row>
    <row r="38" spans="1:15" ht="76.5" x14ac:dyDescent="0.45">
      <c r="A38" s="6" t="s">
        <v>301</v>
      </c>
      <c r="B38" s="6" t="s">
        <v>72</v>
      </c>
      <c r="C38" s="2" t="s">
        <v>302</v>
      </c>
      <c r="D38" s="2" t="s">
        <v>274</v>
      </c>
      <c r="E38" s="2" t="s">
        <v>303</v>
      </c>
      <c r="F38" s="2" t="s">
        <v>304</v>
      </c>
      <c r="G38" s="2" t="s">
        <v>305</v>
      </c>
      <c r="H38" s="3" t="s">
        <v>18</v>
      </c>
      <c r="I38" s="6" t="s">
        <v>47</v>
      </c>
      <c r="J38" s="3" t="s">
        <v>18</v>
      </c>
      <c r="K38" s="14" t="s">
        <v>24</v>
      </c>
      <c r="L38" s="15"/>
      <c r="M38" s="3" t="s">
        <v>18</v>
      </c>
      <c r="N38" s="14" t="s">
        <v>18</v>
      </c>
      <c r="O38" s="3" t="s">
        <v>18</v>
      </c>
    </row>
    <row r="39" spans="1:15" ht="25.5" x14ac:dyDescent="0.45">
      <c r="A39" s="6" t="s">
        <v>306</v>
      </c>
      <c r="B39" s="6" t="s">
        <v>72</v>
      </c>
      <c r="C39" s="2" t="s">
        <v>307</v>
      </c>
      <c r="D39" s="2" t="s">
        <v>308</v>
      </c>
      <c r="E39" s="2" t="s">
        <v>309</v>
      </c>
      <c r="F39" s="2" t="s">
        <v>18</v>
      </c>
      <c r="G39" s="2" t="s">
        <v>310</v>
      </c>
      <c r="H39" s="3" t="s">
        <v>18</v>
      </c>
      <c r="I39" s="6" t="s">
        <v>47</v>
      </c>
      <c r="J39" s="3" t="s">
        <v>18</v>
      </c>
      <c r="K39" s="14" t="s">
        <v>24</v>
      </c>
      <c r="L39" s="15"/>
      <c r="M39" s="3" t="s">
        <v>18</v>
      </c>
      <c r="N39" s="14" t="s">
        <v>18</v>
      </c>
      <c r="O39" s="3" t="s">
        <v>18</v>
      </c>
    </row>
    <row r="40" spans="1:15" ht="25.5" x14ac:dyDescent="0.45">
      <c r="A40" s="6" t="s">
        <v>311</v>
      </c>
      <c r="B40" s="6" t="s">
        <v>72</v>
      </c>
      <c r="C40" s="2" t="s">
        <v>312</v>
      </c>
      <c r="D40" s="2" t="s">
        <v>313</v>
      </c>
      <c r="E40" s="2" t="s">
        <v>314</v>
      </c>
      <c r="F40" s="2" t="s">
        <v>18</v>
      </c>
      <c r="G40" s="2" t="s">
        <v>315</v>
      </c>
      <c r="H40" s="3" t="s">
        <v>18</v>
      </c>
      <c r="I40" s="6" t="s">
        <v>47</v>
      </c>
      <c r="J40" s="3" t="s">
        <v>18</v>
      </c>
      <c r="K40" s="14" t="s">
        <v>24</v>
      </c>
      <c r="L40" s="15"/>
      <c r="M40" s="3" t="s">
        <v>18</v>
      </c>
      <c r="N40" s="14" t="s">
        <v>18</v>
      </c>
      <c r="O40" s="3" t="s">
        <v>18</v>
      </c>
    </row>
    <row r="41" spans="1:15" ht="38.25" x14ac:dyDescent="0.45">
      <c r="A41" s="6" t="s">
        <v>316</v>
      </c>
      <c r="B41" s="6" t="s">
        <v>72</v>
      </c>
      <c r="C41" s="2" t="s">
        <v>317</v>
      </c>
      <c r="D41" s="2" t="s">
        <v>318</v>
      </c>
      <c r="E41" s="2" t="s">
        <v>319</v>
      </c>
      <c r="F41" s="2" t="s">
        <v>18</v>
      </c>
      <c r="G41" s="2" t="s">
        <v>320</v>
      </c>
      <c r="H41" s="3" t="s">
        <v>18</v>
      </c>
      <c r="I41" s="6" t="s">
        <v>47</v>
      </c>
      <c r="J41" s="3" t="s">
        <v>18</v>
      </c>
      <c r="K41" s="14" t="s">
        <v>24</v>
      </c>
      <c r="L41" s="15"/>
      <c r="M41" s="3" t="s">
        <v>18</v>
      </c>
      <c r="N41" s="14" t="s">
        <v>18</v>
      </c>
      <c r="O41" s="3" t="s">
        <v>18</v>
      </c>
    </row>
    <row r="42" spans="1:15" ht="25.5" x14ac:dyDescent="0.45">
      <c r="A42" s="6" t="s">
        <v>321</v>
      </c>
      <c r="B42" s="6" t="s">
        <v>72</v>
      </c>
      <c r="C42" s="2" t="s">
        <v>322</v>
      </c>
      <c r="D42" s="2" t="s">
        <v>323</v>
      </c>
      <c r="E42" s="2" t="s">
        <v>324</v>
      </c>
      <c r="F42" s="2" t="s">
        <v>18</v>
      </c>
      <c r="G42" s="2" t="s">
        <v>325</v>
      </c>
      <c r="H42" s="3" t="s">
        <v>18</v>
      </c>
      <c r="I42" s="6" t="s">
        <v>47</v>
      </c>
      <c r="J42" s="3" t="s">
        <v>18</v>
      </c>
      <c r="K42" s="14" t="s">
        <v>24</v>
      </c>
      <c r="L42" s="15"/>
      <c r="M42" s="3" t="s">
        <v>18</v>
      </c>
      <c r="N42" s="14" t="s">
        <v>18</v>
      </c>
      <c r="O42" s="3" t="s">
        <v>18</v>
      </c>
    </row>
    <row r="43" spans="1:15" ht="63.75" x14ac:dyDescent="0.45">
      <c r="A43" s="6" t="s">
        <v>326</v>
      </c>
      <c r="B43" s="6" t="s">
        <v>72</v>
      </c>
      <c r="C43" s="2" t="s">
        <v>327</v>
      </c>
      <c r="D43" s="2" t="s">
        <v>328</v>
      </c>
      <c r="E43" s="2" t="s">
        <v>329</v>
      </c>
      <c r="F43" s="2" t="s">
        <v>294</v>
      </c>
      <c r="G43" s="2" t="s">
        <v>330</v>
      </c>
      <c r="H43" s="3" t="s">
        <v>18</v>
      </c>
      <c r="I43" s="6" t="s">
        <v>47</v>
      </c>
      <c r="J43" s="3" t="s">
        <v>18</v>
      </c>
      <c r="K43" s="14" t="s">
        <v>24</v>
      </c>
      <c r="L43" s="15"/>
      <c r="M43" s="3" t="s">
        <v>18</v>
      </c>
      <c r="N43" s="14" t="s">
        <v>18</v>
      </c>
      <c r="O43" s="3" t="s">
        <v>18</v>
      </c>
    </row>
    <row r="44" spans="1:15" ht="38.25" x14ac:dyDescent="0.45">
      <c r="A44" s="6" t="s">
        <v>331</v>
      </c>
      <c r="B44" s="6" t="s">
        <v>72</v>
      </c>
      <c r="C44" s="2" t="s">
        <v>332</v>
      </c>
      <c r="D44" s="2" t="s">
        <v>333</v>
      </c>
      <c r="E44" s="2" t="s">
        <v>334</v>
      </c>
      <c r="F44" s="2" t="s">
        <v>18</v>
      </c>
      <c r="G44" s="2" t="s">
        <v>335</v>
      </c>
      <c r="H44" s="3" t="s">
        <v>18</v>
      </c>
      <c r="I44" s="6" t="s">
        <v>47</v>
      </c>
      <c r="J44" s="3" t="s">
        <v>18</v>
      </c>
      <c r="K44" s="14" t="s">
        <v>24</v>
      </c>
      <c r="L44" s="15"/>
      <c r="M44" s="3" t="s">
        <v>18</v>
      </c>
      <c r="N44" s="14" t="s">
        <v>18</v>
      </c>
      <c r="O44" s="3" t="s">
        <v>18</v>
      </c>
    </row>
    <row r="45" spans="1:15" ht="51" x14ac:dyDescent="0.45">
      <c r="A45" s="6" t="s">
        <v>336</v>
      </c>
      <c r="B45" s="6" t="s">
        <v>75</v>
      </c>
      <c r="C45" s="2" t="s">
        <v>337</v>
      </c>
      <c r="D45" s="2" t="s">
        <v>338</v>
      </c>
      <c r="E45" s="2" t="s">
        <v>339</v>
      </c>
      <c r="F45" s="2" t="s">
        <v>340</v>
      </c>
      <c r="G45" s="2" t="s">
        <v>341</v>
      </c>
      <c r="H45" s="3" t="s">
        <v>18</v>
      </c>
      <c r="I45" s="6" t="s">
        <v>47</v>
      </c>
      <c r="J45" s="3" t="s">
        <v>18</v>
      </c>
      <c r="K45" s="14" t="s">
        <v>24</v>
      </c>
      <c r="L45" s="15"/>
      <c r="M45" s="3" t="s">
        <v>18</v>
      </c>
      <c r="N45" s="14" t="s">
        <v>18</v>
      </c>
      <c r="O45" s="3" t="s">
        <v>18</v>
      </c>
    </row>
    <row r="46" spans="1:15" ht="51" x14ac:dyDescent="0.45">
      <c r="A46" s="6" t="s">
        <v>342</v>
      </c>
      <c r="B46" s="6" t="s">
        <v>75</v>
      </c>
      <c r="C46" s="2" t="s">
        <v>343</v>
      </c>
      <c r="D46" s="2" t="s">
        <v>328</v>
      </c>
      <c r="E46" s="2" t="s">
        <v>344</v>
      </c>
      <c r="F46" s="2" t="s">
        <v>345</v>
      </c>
      <c r="G46" s="2" t="s">
        <v>346</v>
      </c>
      <c r="H46" s="3" t="s">
        <v>18</v>
      </c>
      <c r="I46" s="6" t="s">
        <v>47</v>
      </c>
      <c r="J46" s="3" t="s">
        <v>18</v>
      </c>
      <c r="K46" s="14" t="s">
        <v>24</v>
      </c>
      <c r="L46" s="15"/>
      <c r="M46" s="3" t="s">
        <v>18</v>
      </c>
      <c r="N46" s="14" t="s">
        <v>18</v>
      </c>
      <c r="O46" s="3" t="s">
        <v>18</v>
      </c>
    </row>
    <row r="47" spans="1:15" ht="89.25" x14ac:dyDescent="0.45">
      <c r="A47" s="6" t="s">
        <v>347</v>
      </c>
      <c r="B47" s="6" t="s">
        <v>75</v>
      </c>
      <c r="C47" s="2" t="s">
        <v>348</v>
      </c>
      <c r="D47" s="2" t="s">
        <v>349</v>
      </c>
      <c r="E47" s="2" t="s">
        <v>350</v>
      </c>
      <c r="F47" s="2" t="s">
        <v>345</v>
      </c>
      <c r="G47" s="2" t="s">
        <v>351</v>
      </c>
      <c r="H47" s="3" t="s">
        <v>18</v>
      </c>
      <c r="I47" s="6" t="s">
        <v>47</v>
      </c>
      <c r="J47" s="3" t="s">
        <v>18</v>
      </c>
      <c r="K47" s="14" t="s">
        <v>24</v>
      </c>
      <c r="L47" s="15"/>
      <c r="M47" s="3" t="s">
        <v>18</v>
      </c>
      <c r="N47" s="14" t="s">
        <v>18</v>
      </c>
      <c r="O47" s="3" t="s">
        <v>18</v>
      </c>
    </row>
    <row r="48" spans="1:15" ht="25.5" x14ac:dyDescent="0.45">
      <c r="A48" s="6" t="s">
        <v>352</v>
      </c>
      <c r="B48" s="6" t="s">
        <v>79</v>
      </c>
      <c r="C48" s="2" t="s">
        <v>353</v>
      </c>
      <c r="D48" s="2" t="s">
        <v>141</v>
      </c>
      <c r="E48" s="2" t="s">
        <v>354</v>
      </c>
      <c r="F48" s="2" t="s">
        <v>18</v>
      </c>
      <c r="G48" s="2" t="s">
        <v>355</v>
      </c>
      <c r="H48" s="3" t="s">
        <v>18</v>
      </c>
      <c r="I48" s="6" t="s">
        <v>47</v>
      </c>
      <c r="J48" s="3" t="s">
        <v>18</v>
      </c>
      <c r="K48" s="14" t="s">
        <v>24</v>
      </c>
      <c r="L48" s="15"/>
      <c r="M48" s="3" t="s">
        <v>18</v>
      </c>
      <c r="N48" s="14" t="s">
        <v>18</v>
      </c>
      <c r="O48" s="3" t="s">
        <v>18</v>
      </c>
    </row>
    <row r="49" spans="1:15" ht="63.75" x14ac:dyDescent="0.45">
      <c r="A49" s="6" t="s">
        <v>356</v>
      </c>
      <c r="B49" s="6" t="s">
        <v>79</v>
      </c>
      <c r="C49" s="2" t="s">
        <v>357</v>
      </c>
      <c r="D49" s="2" t="s">
        <v>141</v>
      </c>
      <c r="E49" s="2" t="s">
        <v>358</v>
      </c>
      <c r="F49" s="2" t="s">
        <v>359</v>
      </c>
      <c r="G49" s="2" t="s">
        <v>360</v>
      </c>
      <c r="H49" s="3" t="s">
        <v>18</v>
      </c>
      <c r="I49" s="6" t="s">
        <v>47</v>
      </c>
      <c r="J49" s="3" t="s">
        <v>18</v>
      </c>
      <c r="K49" s="14" t="s">
        <v>24</v>
      </c>
      <c r="L49" s="15"/>
      <c r="M49" s="3" t="s">
        <v>18</v>
      </c>
      <c r="N49" s="14" t="s">
        <v>18</v>
      </c>
      <c r="O49" s="3" t="s">
        <v>18</v>
      </c>
    </row>
    <row r="50" spans="1:15" ht="102" x14ac:dyDescent="0.45">
      <c r="A50" s="6" t="s">
        <v>361</v>
      </c>
      <c r="B50" s="6" t="s">
        <v>79</v>
      </c>
      <c r="C50" s="2" t="s">
        <v>362</v>
      </c>
      <c r="D50" s="2" t="s">
        <v>363</v>
      </c>
      <c r="E50" s="2" t="s">
        <v>364</v>
      </c>
      <c r="F50" s="2" t="s">
        <v>18</v>
      </c>
      <c r="G50" s="2" t="s">
        <v>365</v>
      </c>
      <c r="H50" s="3" t="s">
        <v>18</v>
      </c>
      <c r="I50" s="6" t="s">
        <v>47</v>
      </c>
      <c r="J50" s="3" t="s">
        <v>18</v>
      </c>
      <c r="K50" s="14" t="s">
        <v>24</v>
      </c>
      <c r="L50" s="15"/>
      <c r="M50" s="3" t="s">
        <v>18</v>
      </c>
      <c r="N50" s="14" t="s">
        <v>18</v>
      </c>
      <c r="O50" s="3" t="s">
        <v>18</v>
      </c>
    </row>
    <row r="51" spans="1:15" ht="51" x14ac:dyDescent="0.45">
      <c r="A51" s="6" t="s">
        <v>366</v>
      </c>
      <c r="B51" s="6" t="s">
        <v>82</v>
      </c>
      <c r="C51" s="2" t="s">
        <v>367</v>
      </c>
      <c r="D51" s="2" t="s">
        <v>368</v>
      </c>
      <c r="E51" s="2" t="s">
        <v>369</v>
      </c>
      <c r="F51" s="2" t="s">
        <v>18</v>
      </c>
      <c r="G51" s="2" t="s">
        <v>370</v>
      </c>
      <c r="H51" s="3" t="s">
        <v>18</v>
      </c>
      <c r="I51" s="6" t="s">
        <v>58</v>
      </c>
      <c r="J51" s="3" t="s">
        <v>18</v>
      </c>
      <c r="K51" s="14" t="s">
        <v>24</v>
      </c>
      <c r="L51" s="15"/>
      <c r="M51" s="3" t="s">
        <v>18</v>
      </c>
      <c r="N51" s="14" t="s">
        <v>18</v>
      </c>
      <c r="O51" s="3" t="s">
        <v>18</v>
      </c>
    </row>
    <row r="52" spans="1:15" ht="38.25" x14ac:dyDescent="0.45">
      <c r="A52" s="6" t="s">
        <v>371</v>
      </c>
      <c r="B52" s="6" t="s">
        <v>82</v>
      </c>
      <c r="C52" s="2" t="s">
        <v>372</v>
      </c>
      <c r="D52" s="2" t="s">
        <v>373</v>
      </c>
      <c r="E52" s="2" t="s">
        <v>374</v>
      </c>
      <c r="F52" s="2" t="s">
        <v>18</v>
      </c>
      <c r="G52" s="2" t="s">
        <v>375</v>
      </c>
      <c r="H52" s="3" t="s">
        <v>18</v>
      </c>
      <c r="I52" s="6" t="s">
        <v>58</v>
      </c>
      <c r="J52" s="3" t="s">
        <v>18</v>
      </c>
      <c r="K52" s="14" t="s">
        <v>24</v>
      </c>
      <c r="L52" s="15"/>
      <c r="M52" s="3" t="s">
        <v>18</v>
      </c>
      <c r="N52" s="14" t="s">
        <v>18</v>
      </c>
      <c r="O52" s="3" t="s">
        <v>18</v>
      </c>
    </row>
    <row r="53" spans="1:15" ht="38.25" x14ac:dyDescent="0.45">
      <c r="A53" s="6" t="s">
        <v>376</v>
      </c>
      <c r="B53" s="6" t="s">
        <v>82</v>
      </c>
      <c r="C53" s="2" t="s">
        <v>377</v>
      </c>
      <c r="D53" s="2" t="s">
        <v>378</v>
      </c>
      <c r="E53" s="2" t="s">
        <v>379</v>
      </c>
      <c r="F53" s="2" t="s">
        <v>18</v>
      </c>
      <c r="G53" s="2" t="s">
        <v>380</v>
      </c>
      <c r="H53" s="3" t="s">
        <v>18</v>
      </c>
      <c r="I53" s="6" t="s">
        <v>58</v>
      </c>
      <c r="J53" s="3" t="s">
        <v>18</v>
      </c>
      <c r="K53" s="14" t="s">
        <v>24</v>
      </c>
      <c r="L53" s="15"/>
      <c r="M53" s="3" t="s">
        <v>18</v>
      </c>
      <c r="N53" s="14" t="s">
        <v>18</v>
      </c>
      <c r="O53" s="3" t="s">
        <v>18</v>
      </c>
    </row>
    <row r="54" spans="1:15" ht="25.5" x14ac:dyDescent="0.45">
      <c r="A54" s="6" t="s">
        <v>381</v>
      </c>
      <c r="B54" s="6" t="s">
        <v>84</v>
      </c>
      <c r="C54" s="2" t="s">
        <v>382</v>
      </c>
      <c r="D54" s="2" t="s">
        <v>383</v>
      </c>
      <c r="E54" s="2" t="s">
        <v>384</v>
      </c>
      <c r="F54" s="2" t="s">
        <v>18</v>
      </c>
      <c r="G54" s="2" t="s">
        <v>385</v>
      </c>
      <c r="H54" s="3" t="s">
        <v>18</v>
      </c>
      <c r="I54" s="6" t="s">
        <v>47</v>
      </c>
      <c r="J54" s="3" t="s">
        <v>18</v>
      </c>
      <c r="K54" s="14" t="s">
        <v>24</v>
      </c>
      <c r="L54" s="15"/>
      <c r="M54" s="3" t="s">
        <v>18</v>
      </c>
      <c r="N54" s="14" t="s">
        <v>18</v>
      </c>
      <c r="O54" s="3" t="s">
        <v>18</v>
      </c>
    </row>
    <row r="55" spans="1:15" x14ac:dyDescent="0.45">
      <c r="A55" s="6" t="s">
        <v>386</v>
      </c>
      <c r="B55" s="6" t="s">
        <v>84</v>
      </c>
      <c r="C55" s="2" t="s">
        <v>387</v>
      </c>
      <c r="D55" s="2" t="s">
        <v>388</v>
      </c>
      <c r="E55" s="2" t="s">
        <v>389</v>
      </c>
      <c r="F55" s="2" t="s">
        <v>18</v>
      </c>
      <c r="G55" s="2" t="s">
        <v>390</v>
      </c>
      <c r="H55" s="3" t="s">
        <v>18</v>
      </c>
      <c r="I55" s="6" t="s">
        <v>47</v>
      </c>
      <c r="J55" s="3" t="s">
        <v>18</v>
      </c>
      <c r="K55" s="14" t="s">
        <v>24</v>
      </c>
      <c r="L55" s="15"/>
      <c r="M55" s="3" t="s">
        <v>18</v>
      </c>
      <c r="N55" s="14" t="s">
        <v>18</v>
      </c>
      <c r="O55" s="3" t="s">
        <v>18</v>
      </c>
    </row>
    <row r="56" spans="1:15" ht="25.5" x14ac:dyDescent="0.45">
      <c r="A56" s="6" t="s">
        <v>391</v>
      </c>
      <c r="B56" s="6" t="s">
        <v>84</v>
      </c>
      <c r="C56" s="2" t="s">
        <v>392</v>
      </c>
      <c r="D56" s="2" t="s">
        <v>388</v>
      </c>
      <c r="E56" s="2" t="s">
        <v>393</v>
      </c>
      <c r="F56" s="2" t="s">
        <v>18</v>
      </c>
      <c r="G56" s="2" t="s">
        <v>394</v>
      </c>
      <c r="H56" s="3" t="s">
        <v>18</v>
      </c>
      <c r="I56" s="6" t="s">
        <v>47</v>
      </c>
      <c r="J56" s="3" t="s">
        <v>18</v>
      </c>
      <c r="K56" s="14" t="s">
        <v>24</v>
      </c>
      <c r="L56" s="15"/>
      <c r="M56" s="3" t="s">
        <v>18</v>
      </c>
      <c r="N56" s="14" t="s">
        <v>18</v>
      </c>
      <c r="O56" s="3" t="s">
        <v>18</v>
      </c>
    </row>
    <row r="57" spans="1:15" ht="38.25" x14ac:dyDescent="0.45">
      <c r="A57" s="6" t="s">
        <v>395</v>
      </c>
      <c r="B57" s="6" t="s">
        <v>84</v>
      </c>
      <c r="C57" s="2" t="s">
        <v>396</v>
      </c>
      <c r="D57" s="2" t="s">
        <v>397</v>
      </c>
      <c r="E57" s="2" t="s">
        <v>398</v>
      </c>
      <c r="F57" s="2" t="s">
        <v>18</v>
      </c>
      <c r="G57" s="2" t="s">
        <v>399</v>
      </c>
      <c r="H57" s="3" t="s">
        <v>18</v>
      </c>
      <c r="I57" s="6" t="s">
        <v>47</v>
      </c>
      <c r="J57" s="3" t="s">
        <v>18</v>
      </c>
      <c r="K57" s="14" t="s">
        <v>24</v>
      </c>
      <c r="L57" s="15"/>
      <c r="M57" s="3" t="s">
        <v>18</v>
      </c>
      <c r="N57" s="14" t="s">
        <v>18</v>
      </c>
      <c r="O57" s="3" t="s">
        <v>18</v>
      </c>
    </row>
    <row r="58" spans="1:15" ht="89.25" x14ac:dyDescent="0.45">
      <c r="A58" s="6" t="s">
        <v>400</v>
      </c>
      <c r="B58" s="6" t="s">
        <v>87</v>
      </c>
      <c r="C58" s="2" t="s">
        <v>401</v>
      </c>
      <c r="D58" s="2" t="s">
        <v>402</v>
      </c>
      <c r="E58" s="2" t="s">
        <v>403</v>
      </c>
      <c r="F58" s="2" t="s">
        <v>404</v>
      </c>
      <c r="G58" s="2" t="s">
        <v>405</v>
      </c>
      <c r="H58" s="3" t="s">
        <v>18</v>
      </c>
      <c r="I58" s="6" t="s">
        <v>47</v>
      </c>
      <c r="J58" s="3" t="s">
        <v>18</v>
      </c>
      <c r="K58" s="14" t="s">
        <v>24</v>
      </c>
      <c r="L58" s="15"/>
      <c r="M58" s="3" t="s">
        <v>18</v>
      </c>
      <c r="N58" s="14" t="s">
        <v>18</v>
      </c>
      <c r="O58" s="3" t="s">
        <v>18</v>
      </c>
    </row>
    <row r="59" spans="1:15" ht="38.25" x14ac:dyDescent="0.45">
      <c r="A59" s="6" t="s">
        <v>406</v>
      </c>
      <c r="B59" s="6" t="s">
        <v>87</v>
      </c>
      <c r="C59" s="2" t="s">
        <v>407</v>
      </c>
      <c r="D59" s="2" t="s">
        <v>408</v>
      </c>
      <c r="E59" s="2" t="s">
        <v>409</v>
      </c>
      <c r="F59" s="2" t="s">
        <v>18</v>
      </c>
      <c r="G59" s="2" t="s">
        <v>410</v>
      </c>
      <c r="H59" s="3" t="s">
        <v>18</v>
      </c>
      <c r="I59" s="6" t="s">
        <v>47</v>
      </c>
      <c r="J59" s="3" t="s">
        <v>18</v>
      </c>
      <c r="K59" s="14" t="s">
        <v>24</v>
      </c>
      <c r="L59" s="15"/>
      <c r="M59" s="3" t="s">
        <v>18</v>
      </c>
      <c r="N59" s="14" t="s">
        <v>18</v>
      </c>
      <c r="O59" s="3" t="s">
        <v>18</v>
      </c>
    </row>
    <row r="60" spans="1:15" ht="25.5" x14ac:dyDescent="0.45">
      <c r="A60" s="6" t="s">
        <v>411</v>
      </c>
      <c r="B60" s="6" t="s">
        <v>87</v>
      </c>
      <c r="C60" s="2" t="s">
        <v>412</v>
      </c>
      <c r="D60" s="2" t="s">
        <v>413</v>
      </c>
      <c r="E60" s="2" t="s">
        <v>414</v>
      </c>
      <c r="F60" s="2" t="s">
        <v>18</v>
      </c>
      <c r="G60" s="2" t="s">
        <v>415</v>
      </c>
      <c r="H60" s="3" t="s">
        <v>18</v>
      </c>
      <c r="I60" s="6" t="s">
        <v>47</v>
      </c>
      <c r="J60" s="3" t="s">
        <v>18</v>
      </c>
      <c r="K60" s="14" t="s">
        <v>24</v>
      </c>
      <c r="L60" s="15"/>
      <c r="M60" s="3" t="s">
        <v>18</v>
      </c>
      <c r="N60" s="14" t="s">
        <v>18</v>
      </c>
      <c r="O60" s="3" t="s">
        <v>18</v>
      </c>
    </row>
    <row r="61" spans="1:15" ht="51" x14ac:dyDescent="0.45">
      <c r="A61" s="6" t="s">
        <v>416</v>
      </c>
      <c r="B61" s="6" t="s">
        <v>91</v>
      </c>
      <c r="C61" s="2" t="s">
        <v>417</v>
      </c>
      <c r="D61" s="2" t="s">
        <v>418</v>
      </c>
      <c r="E61" s="2" t="s">
        <v>419</v>
      </c>
      <c r="F61" s="2" t="s">
        <v>420</v>
      </c>
      <c r="G61" s="2" t="s">
        <v>421</v>
      </c>
      <c r="H61" s="3" t="s">
        <v>18</v>
      </c>
      <c r="I61" s="6" t="s">
        <v>47</v>
      </c>
      <c r="J61" s="3" t="s">
        <v>18</v>
      </c>
      <c r="K61" s="14" t="s">
        <v>24</v>
      </c>
      <c r="L61" s="15"/>
      <c r="M61" s="3" t="s">
        <v>18</v>
      </c>
      <c r="N61" s="14" t="s">
        <v>18</v>
      </c>
      <c r="O61" s="3" t="s">
        <v>18</v>
      </c>
    </row>
    <row r="62" spans="1:15" ht="25.5" x14ac:dyDescent="0.45">
      <c r="A62" s="6" t="s">
        <v>422</v>
      </c>
      <c r="B62" s="6" t="s">
        <v>91</v>
      </c>
      <c r="C62" s="2" t="s">
        <v>423</v>
      </c>
      <c r="D62" s="2" t="s">
        <v>424</v>
      </c>
      <c r="E62" s="2" t="s">
        <v>425</v>
      </c>
      <c r="F62" s="2" t="s">
        <v>426</v>
      </c>
      <c r="G62" s="2" t="s">
        <v>427</v>
      </c>
      <c r="H62" s="3" t="s">
        <v>18</v>
      </c>
      <c r="I62" s="6" t="s">
        <v>47</v>
      </c>
      <c r="J62" s="3" t="s">
        <v>18</v>
      </c>
      <c r="K62" s="14" t="s">
        <v>24</v>
      </c>
      <c r="L62" s="15"/>
      <c r="M62" s="3" t="s">
        <v>18</v>
      </c>
      <c r="N62" s="14" t="s">
        <v>18</v>
      </c>
      <c r="O62" s="3" t="s">
        <v>18</v>
      </c>
    </row>
    <row r="63" spans="1:15" x14ac:dyDescent="0.45">
      <c r="A63" s="6" t="s">
        <v>428</v>
      </c>
      <c r="B63" s="6" t="s">
        <v>91</v>
      </c>
      <c r="C63" s="2" t="s">
        <v>429</v>
      </c>
      <c r="D63" s="2" t="s">
        <v>430</v>
      </c>
      <c r="E63" s="2" t="s">
        <v>431</v>
      </c>
      <c r="F63" s="2" t="s">
        <v>18</v>
      </c>
      <c r="G63" s="2" t="s">
        <v>432</v>
      </c>
      <c r="H63" s="3" t="s">
        <v>18</v>
      </c>
      <c r="I63" s="6" t="s">
        <v>47</v>
      </c>
      <c r="J63" s="3" t="s">
        <v>18</v>
      </c>
      <c r="K63" s="14" t="s">
        <v>24</v>
      </c>
      <c r="L63" s="15"/>
      <c r="M63" s="3" t="s">
        <v>18</v>
      </c>
      <c r="N63" s="14" t="s">
        <v>18</v>
      </c>
      <c r="O63" s="3" t="s">
        <v>18</v>
      </c>
    </row>
    <row r="64" spans="1:15" ht="63.75" x14ac:dyDescent="0.45">
      <c r="A64" s="6" t="s">
        <v>433</v>
      </c>
      <c r="B64" s="6" t="s">
        <v>91</v>
      </c>
      <c r="C64" s="2" t="s">
        <v>434</v>
      </c>
      <c r="D64" s="2" t="s">
        <v>435</v>
      </c>
      <c r="E64" s="2" t="s">
        <v>436</v>
      </c>
      <c r="F64" s="2" t="s">
        <v>437</v>
      </c>
      <c r="G64" s="2" t="s">
        <v>438</v>
      </c>
      <c r="H64" s="3" t="s">
        <v>18</v>
      </c>
      <c r="I64" s="6" t="s">
        <v>47</v>
      </c>
      <c r="J64" s="3" t="s">
        <v>18</v>
      </c>
      <c r="K64" s="14" t="s">
        <v>24</v>
      </c>
      <c r="L64" s="15"/>
      <c r="M64" s="3" t="s">
        <v>18</v>
      </c>
      <c r="N64" s="14" t="s">
        <v>18</v>
      </c>
      <c r="O64" s="3" t="s">
        <v>18</v>
      </c>
    </row>
    <row r="65" spans="1:15" ht="25.5" x14ac:dyDescent="0.45">
      <c r="A65" s="6" t="s">
        <v>439</v>
      </c>
      <c r="B65" s="6" t="s">
        <v>91</v>
      </c>
      <c r="C65" s="2" t="s">
        <v>440</v>
      </c>
      <c r="D65" s="2" t="s">
        <v>441</v>
      </c>
      <c r="E65" s="2" t="s">
        <v>442</v>
      </c>
      <c r="F65" s="2" t="s">
        <v>443</v>
      </c>
      <c r="G65" s="2" t="s">
        <v>444</v>
      </c>
      <c r="H65" s="3" t="s">
        <v>18</v>
      </c>
      <c r="I65" s="6" t="s">
        <v>47</v>
      </c>
      <c r="J65" s="3" t="s">
        <v>18</v>
      </c>
      <c r="K65" s="14" t="s">
        <v>24</v>
      </c>
      <c r="L65" s="15"/>
      <c r="M65" s="3" t="s">
        <v>18</v>
      </c>
      <c r="N65" s="14" t="s">
        <v>18</v>
      </c>
      <c r="O65" s="3" t="s">
        <v>18</v>
      </c>
    </row>
    <row r="66" spans="1:15" ht="38.25" x14ac:dyDescent="0.45">
      <c r="A66" s="6" t="s">
        <v>445</v>
      </c>
      <c r="B66" s="6" t="s">
        <v>91</v>
      </c>
      <c r="C66" s="2" t="s">
        <v>446</v>
      </c>
      <c r="D66" s="2" t="s">
        <v>447</v>
      </c>
      <c r="E66" s="2" t="s">
        <v>448</v>
      </c>
      <c r="F66" s="2" t="s">
        <v>449</v>
      </c>
      <c r="G66" s="2" t="s">
        <v>450</v>
      </c>
      <c r="H66" s="3" t="s">
        <v>18</v>
      </c>
      <c r="I66" s="6" t="s">
        <v>47</v>
      </c>
      <c r="J66" s="3" t="s">
        <v>18</v>
      </c>
      <c r="K66" s="14" t="s">
        <v>24</v>
      </c>
      <c r="L66" s="15"/>
      <c r="M66" s="3" t="s">
        <v>18</v>
      </c>
      <c r="N66" s="14" t="s">
        <v>18</v>
      </c>
      <c r="O66" s="3" t="s">
        <v>18</v>
      </c>
    </row>
    <row r="67" spans="1:15" ht="38.25" x14ac:dyDescent="0.45">
      <c r="A67" s="6" t="s">
        <v>451</v>
      </c>
      <c r="B67" s="6" t="s">
        <v>93</v>
      </c>
      <c r="C67" s="2" t="s">
        <v>452</v>
      </c>
      <c r="D67" s="2" t="s">
        <v>453</v>
      </c>
      <c r="E67" s="2" t="s">
        <v>454</v>
      </c>
      <c r="F67" s="2" t="s">
        <v>455</v>
      </c>
      <c r="G67" s="2" t="s">
        <v>456</v>
      </c>
      <c r="H67" s="3" t="s">
        <v>18</v>
      </c>
      <c r="I67" s="6" t="s">
        <v>47</v>
      </c>
      <c r="J67" s="3" t="s">
        <v>18</v>
      </c>
      <c r="K67" s="14" t="s">
        <v>24</v>
      </c>
      <c r="L67" s="15"/>
      <c r="M67" s="3" t="s">
        <v>18</v>
      </c>
      <c r="N67" s="14" t="s">
        <v>18</v>
      </c>
      <c r="O67" s="3" t="s">
        <v>18</v>
      </c>
    </row>
    <row r="68" spans="1:15" ht="25.5" x14ac:dyDescent="0.45">
      <c r="A68" s="6" t="s">
        <v>457</v>
      </c>
      <c r="B68" s="6" t="s">
        <v>93</v>
      </c>
      <c r="C68" s="2" t="s">
        <v>458</v>
      </c>
      <c r="D68" s="2" t="s">
        <v>459</v>
      </c>
      <c r="E68" s="2" t="s">
        <v>460</v>
      </c>
      <c r="F68" s="2" t="s">
        <v>18</v>
      </c>
      <c r="G68" s="2" t="s">
        <v>461</v>
      </c>
      <c r="H68" s="3" t="s">
        <v>18</v>
      </c>
      <c r="I68" s="6" t="s">
        <v>47</v>
      </c>
      <c r="J68" s="3" t="s">
        <v>18</v>
      </c>
      <c r="K68" s="14" t="s">
        <v>24</v>
      </c>
      <c r="L68" s="15"/>
      <c r="M68" s="3" t="s">
        <v>18</v>
      </c>
      <c r="N68" s="14" t="s">
        <v>18</v>
      </c>
      <c r="O68" s="3" t="s">
        <v>18</v>
      </c>
    </row>
    <row r="69" spans="1:15" ht="63.75" x14ac:dyDescent="0.45">
      <c r="A69" s="6" t="s">
        <v>462</v>
      </c>
      <c r="B69" s="6" t="s">
        <v>93</v>
      </c>
      <c r="C69" s="2" t="s">
        <v>463</v>
      </c>
      <c r="D69" s="2" t="s">
        <v>464</v>
      </c>
      <c r="E69" s="2" t="s">
        <v>465</v>
      </c>
      <c r="F69" s="2" t="s">
        <v>466</v>
      </c>
      <c r="G69" s="2" t="s">
        <v>467</v>
      </c>
      <c r="H69" s="3" t="s">
        <v>18</v>
      </c>
      <c r="I69" s="6" t="s">
        <v>47</v>
      </c>
      <c r="J69" s="3" t="s">
        <v>18</v>
      </c>
      <c r="K69" s="14" t="s">
        <v>24</v>
      </c>
      <c r="L69" s="15"/>
      <c r="M69" s="3" t="s">
        <v>18</v>
      </c>
      <c r="N69" s="14" t="s">
        <v>18</v>
      </c>
      <c r="O69" s="3" t="s">
        <v>18</v>
      </c>
    </row>
    <row r="70" spans="1:15" ht="25.5" x14ac:dyDescent="0.45">
      <c r="A70" s="6" t="s">
        <v>468</v>
      </c>
      <c r="B70" s="6" t="s">
        <v>93</v>
      </c>
      <c r="C70" s="2" t="s">
        <v>469</v>
      </c>
      <c r="D70" s="2" t="s">
        <v>470</v>
      </c>
      <c r="E70" s="2" t="s">
        <v>471</v>
      </c>
      <c r="F70" s="2" t="s">
        <v>18</v>
      </c>
      <c r="G70" s="2" t="s">
        <v>472</v>
      </c>
      <c r="H70" s="3" t="s">
        <v>18</v>
      </c>
      <c r="I70" s="6" t="s">
        <v>47</v>
      </c>
      <c r="J70" s="3" t="s">
        <v>18</v>
      </c>
      <c r="K70" s="14" t="s">
        <v>24</v>
      </c>
      <c r="L70" s="15"/>
      <c r="M70" s="3" t="s">
        <v>18</v>
      </c>
      <c r="N70" s="14" t="s">
        <v>18</v>
      </c>
      <c r="O70" s="3" t="s">
        <v>18</v>
      </c>
    </row>
    <row r="71" spans="1:15" ht="25.5" x14ac:dyDescent="0.45">
      <c r="A71" s="6" t="s">
        <v>473</v>
      </c>
      <c r="B71" s="6" t="s">
        <v>93</v>
      </c>
      <c r="C71" s="2" t="s">
        <v>474</v>
      </c>
      <c r="D71" s="2" t="s">
        <v>475</v>
      </c>
      <c r="E71" s="2" t="s">
        <v>476</v>
      </c>
      <c r="F71" s="2" t="s">
        <v>18</v>
      </c>
      <c r="G71" s="2" t="s">
        <v>477</v>
      </c>
      <c r="H71" s="3" t="s">
        <v>18</v>
      </c>
      <c r="I71" s="6" t="s">
        <v>47</v>
      </c>
      <c r="J71" s="3" t="s">
        <v>18</v>
      </c>
      <c r="K71" s="14" t="s">
        <v>24</v>
      </c>
      <c r="L71" s="15"/>
      <c r="M71" s="3" t="s">
        <v>18</v>
      </c>
      <c r="N71" s="14" t="s">
        <v>18</v>
      </c>
      <c r="O71" s="3" t="s">
        <v>18</v>
      </c>
    </row>
    <row r="72" spans="1:15" ht="51" x14ac:dyDescent="0.45">
      <c r="A72" s="6" t="s">
        <v>478</v>
      </c>
      <c r="B72" s="6" t="s">
        <v>93</v>
      </c>
      <c r="C72" s="2" t="s">
        <v>479</v>
      </c>
      <c r="D72" s="2" t="s">
        <v>480</v>
      </c>
      <c r="E72" s="2" t="s">
        <v>481</v>
      </c>
      <c r="F72" s="2" t="s">
        <v>18</v>
      </c>
      <c r="G72" s="2" t="s">
        <v>482</v>
      </c>
      <c r="H72" s="3" t="s">
        <v>18</v>
      </c>
      <c r="I72" s="6" t="s">
        <v>47</v>
      </c>
      <c r="J72" s="3" t="s">
        <v>18</v>
      </c>
      <c r="K72" s="14" t="s">
        <v>24</v>
      </c>
      <c r="L72" s="15"/>
      <c r="M72" s="3" t="s">
        <v>18</v>
      </c>
      <c r="N72" s="14" t="s">
        <v>18</v>
      </c>
      <c r="O72" s="3" t="s">
        <v>18</v>
      </c>
    </row>
    <row r="73" spans="1:15" ht="38.25" x14ac:dyDescent="0.45">
      <c r="A73" s="6" t="s">
        <v>483</v>
      </c>
      <c r="B73" s="6" t="s">
        <v>93</v>
      </c>
      <c r="C73" s="2" t="s">
        <v>484</v>
      </c>
      <c r="D73" s="2" t="s">
        <v>485</v>
      </c>
      <c r="E73" s="2" t="s">
        <v>486</v>
      </c>
      <c r="F73" s="2" t="s">
        <v>18</v>
      </c>
      <c r="G73" s="2" t="s">
        <v>487</v>
      </c>
      <c r="H73" s="3" t="s">
        <v>18</v>
      </c>
      <c r="I73" s="6" t="s">
        <v>47</v>
      </c>
      <c r="J73" s="3" t="s">
        <v>18</v>
      </c>
      <c r="K73" s="14" t="s">
        <v>24</v>
      </c>
      <c r="L73" s="15"/>
      <c r="M73" s="3" t="s">
        <v>18</v>
      </c>
      <c r="N73" s="14" t="s">
        <v>18</v>
      </c>
      <c r="O73" s="3" t="s">
        <v>18</v>
      </c>
    </row>
    <row r="74" spans="1:15" ht="25.5" x14ac:dyDescent="0.45">
      <c r="A74" s="6" t="s">
        <v>488</v>
      </c>
      <c r="B74" s="6" t="s">
        <v>93</v>
      </c>
      <c r="C74" s="2" t="s">
        <v>489</v>
      </c>
      <c r="D74" s="2" t="s">
        <v>18</v>
      </c>
      <c r="E74" s="2" t="s">
        <v>490</v>
      </c>
      <c r="F74" s="2" t="s">
        <v>18</v>
      </c>
      <c r="G74" s="2" t="s">
        <v>491</v>
      </c>
      <c r="H74" s="3" t="s">
        <v>18</v>
      </c>
      <c r="I74" s="6" t="s">
        <v>47</v>
      </c>
      <c r="J74" s="3" t="s">
        <v>18</v>
      </c>
      <c r="K74" s="14" t="s">
        <v>24</v>
      </c>
      <c r="L74" s="15"/>
      <c r="M74" s="3" t="s">
        <v>18</v>
      </c>
      <c r="N74" s="14" t="s">
        <v>18</v>
      </c>
      <c r="O74" s="3" t="s">
        <v>18</v>
      </c>
    </row>
    <row r="75" spans="1:15" ht="38.25" x14ac:dyDescent="0.45">
      <c r="A75" s="6" t="s">
        <v>492</v>
      </c>
      <c r="B75" s="6" t="s">
        <v>95</v>
      </c>
      <c r="C75" s="2" t="s">
        <v>493</v>
      </c>
      <c r="D75" s="2" t="s">
        <v>494</v>
      </c>
      <c r="E75" s="2" t="s">
        <v>495</v>
      </c>
      <c r="F75" s="2" t="s">
        <v>496</v>
      </c>
      <c r="G75" s="2" t="s">
        <v>497</v>
      </c>
      <c r="H75" s="3" t="s">
        <v>18</v>
      </c>
      <c r="I75" s="6" t="s">
        <v>47</v>
      </c>
      <c r="J75" s="3" t="s">
        <v>18</v>
      </c>
      <c r="K75" s="14" t="s">
        <v>24</v>
      </c>
      <c r="L75" s="15"/>
      <c r="M75" s="3" t="s">
        <v>18</v>
      </c>
      <c r="N75" s="14" t="s">
        <v>18</v>
      </c>
      <c r="O75" s="3" t="s">
        <v>18</v>
      </c>
    </row>
    <row r="76" spans="1:15" ht="51" x14ac:dyDescent="0.45">
      <c r="A76" s="6" t="s">
        <v>498</v>
      </c>
      <c r="B76" s="6" t="s">
        <v>95</v>
      </c>
      <c r="C76" s="2" t="s">
        <v>499</v>
      </c>
      <c r="D76" s="2" t="s">
        <v>500</v>
      </c>
      <c r="E76" s="2" t="s">
        <v>501</v>
      </c>
      <c r="F76" s="2" t="s">
        <v>502</v>
      </c>
      <c r="G76" s="2" t="s">
        <v>503</v>
      </c>
      <c r="H76" s="3" t="s">
        <v>18</v>
      </c>
      <c r="I76" s="6" t="s">
        <v>47</v>
      </c>
      <c r="J76" s="3" t="s">
        <v>18</v>
      </c>
      <c r="K76" s="14" t="s">
        <v>24</v>
      </c>
      <c r="L76" s="15"/>
      <c r="M76" s="3" t="s">
        <v>18</v>
      </c>
      <c r="N76" s="14" t="s">
        <v>18</v>
      </c>
      <c r="O76" s="3" t="s">
        <v>18</v>
      </c>
    </row>
    <row r="77" spans="1:15" ht="63.75" x14ac:dyDescent="0.45">
      <c r="A77" s="6" t="s">
        <v>504</v>
      </c>
      <c r="B77" s="6" t="s">
        <v>95</v>
      </c>
      <c r="C77" s="2" t="s">
        <v>505</v>
      </c>
      <c r="D77" s="2" t="s">
        <v>506</v>
      </c>
      <c r="E77" s="2" t="s">
        <v>507</v>
      </c>
      <c r="F77" s="2" t="s">
        <v>18</v>
      </c>
      <c r="G77" s="2" t="s">
        <v>508</v>
      </c>
      <c r="H77" s="3" t="s">
        <v>18</v>
      </c>
      <c r="I77" s="6" t="s">
        <v>47</v>
      </c>
      <c r="J77" s="3" t="s">
        <v>18</v>
      </c>
      <c r="K77" s="14" t="s">
        <v>24</v>
      </c>
      <c r="L77" s="15"/>
      <c r="M77" s="3" t="s">
        <v>18</v>
      </c>
      <c r="N77" s="14" t="s">
        <v>18</v>
      </c>
      <c r="O77" s="3" t="s">
        <v>18</v>
      </c>
    </row>
  </sheetData>
  <autoFilter ref="A4:O77" xr:uid="{00000000-0009-0000-0000-000002000000}"/>
  <mergeCells count="2">
    <mergeCell ref="A1:O1"/>
    <mergeCell ref="A2:O2"/>
  </mergeCells>
  <conditionalFormatting sqref="K6:K77">
    <cfRule type="cellIs" dxfId="2" priority="1" operator="equal">
      <formula>"Pass"</formula>
    </cfRule>
    <cfRule type="cellIs" dxfId="1" priority="2" operator="equal">
      <formula>"Fail"</formula>
    </cfRule>
    <cfRule type="cellIs" dxfId="0" priority="3" operator="equal">
      <formula>"Blocked"</formula>
    </cfRule>
  </conditionalFormatting>
  <dataValidations count="2">
    <dataValidation type="list" showErrorMessage="1" errorTitle="สถานะ" error="เลือก Not Run, Pass, Fail หรือ Blocked" sqref="K5:K77" xr:uid="{00000000-0002-0000-0200-000000000000}">
      <formula1>"Not Run,Pass,Fail,Blocked"</formula1>
    </dataValidation>
    <dataValidation type="list" allowBlank="1" sqref="N5:N77" xr:uid="{00000000-0002-0000-0200-000002000000}">
      <formula1>"Pass,Fail"</formula1>
    </dataValidation>
  </dataValidations>
  <pageMargins left="0.7" right="0.7" top="0.75" bottom="0.75" header="0.3" footer="0.3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11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2" max="2" width="36" customWidth="1"/>
    <col min="3" max="3" width="100" customWidth="1"/>
  </cols>
  <sheetData>
    <row r="1" spans="1:3" ht="17.25" x14ac:dyDescent="0.45">
      <c r="A1" s="25" t="s">
        <v>509</v>
      </c>
      <c r="B1" s="25"/>
      <c r="C1" s="25"/>
    </row>
    <row r="2" spans="1:3" x14ac:dyDescent="0.45">
      <c r="A2" s="26" t="s">
        <v>510</v>
      </c>
      <c r="B2" s="26"/>
      <c r="C2" s="26"/>
    </row>
    <row r="4" spans="1:3" x14ac:dyDescent="0.45">
      <c r="A4" s="5" t="s">
        <v>511</v>
      </c>
      <c r="B4" s="5" t="s">
        <v>512</v>
      </c>
      <c r="C4" s="5" t="s">
        <v>513</v>
      </c>
    </row>
    <row r="5" spans="1:3" ht="51" x14ac:dyDescent="0.45">
      <c r="A5" s="6" t="s">
        <v>514</v>
      </c>
      <c r="B5" s="2" t="s">
        <v>515</v>
      </c>
      <c r="C5" s="2" t="s">
        <v>516</v>
      </c>
    </row>
    <row r="6" spans="1:3" ht="25.5" x14ac:dyDescent="0.45">
      <c r="A6" s="6" t="s">
        <v>254</v>
      </c>
      <c r="B6" s="2" t="s">
        <v>517</v>
      </c>
      <c r="C6" s="2" t="s">
        <v>518</v>
      </c>
    </row>
    <row r="7" spans="1:3" ht="51" x14ac:dyDescent="0.45">
      <c r="A7" s="6" t="s">
        <v>519</v>
      </c>
      <c r="B7" s="2" t="s">
        <v>520</v>
      </c>
      <c r="C7" s="2" t="s">
        <v>521</v>
      </c>
    </row>
    <row r="8" spans="1:3" ht="102" x14ac:dyDescent="0.45">
      <c r="A8" s="6" t="s">
        <v>522</v>
      </c>
      <c r="B8" s="2" t="s">
        <v>523</v>
      </c>
      <c r="C8" s="2" t="s">
        <v>524</v>
      </c>
    </row>
    <row r="9" spans="1:3" ht="25.5" x14ac:dyDescent="0.45">
      <c r="A9" s="6" t="s">
        <v>525</v>
      </c>
      <c r="B9" s="2" t="s">
        <v>526</v>
      </c>
      <c r="C9" s="2" t="s">
        <v>527</v>
      </c>
    </row>
    <row r="10" spans="1:3" ht="63.75" x14ac:dyDescent="0.45">
      <c r="A10" s="6" t="s">
        <v>528</v>
      </c>
      <c r="B10" s="2" t="s">
        <v>529</v>
      </c>
      <c r="C10" s="2" t="s">
        <v>530</v>
      </c>
    </row>
    <row r="11" spans="1:3" ht="38.25" x14ac:dyDescent="0.45">
      <c r="A11" s="6" t="s">
        <v>531</v>
      </c>
      <c r="B11" s="2" t="s">
        <v>532</v>
      </c>
      <c r="C11" s="2" t="s">
        <v>533</v>
      </c>
    </row>
  </sheetData>
  <mergeCells count="2">
    <mergeCell ref="A1:C1"/>
    <mergeCell ref="A2:C2"/>
  </mergeCells>
  <pageMargins left="0.7" right="0.7" top="0.75" bottom="0.75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F19"/>
  <sheetViews>
    <sheetView showGridLines="0" workbookViewId="0"/>
  </sheetViews>
  <sheetFormatPr defaultRowHeight="14.25" x14ac:dyDescent="0.45"/>
  <cols>
    <col min="1" max="1" width="4" customWidth="1"/>
    <col min="2" max="3" width="28" customWidth="1"/>
    <col min="4" max="4" width="22" customWidth="1"/>
    <col min="5" max="6" width="18" customWidth="1"/>
  </cols>
  <sheetData>
    <row r="2" spans="2:6" ht="17.25" x14ac:dyDescent="0.45">
      <c r="B2" s="25" t="s">
        <v>534</v>
      </c>
      <c r="C2" s="25"/>
      <c r="D2" s="25"/>
      <c r="E2" s="25"/>
      <c r="F2" s="25"/>
    </row>
    <row r="4" spans="2:6" x14ac:dyDescent="0.45">
      <c r="B4" s="27" t="str">
        <f>"ผลทดสอบ: ผ่าน "&amp;Cover!C20&amp;" จาก "&amp;Cover!C23&amp;" รายการ, ไม่ผ่าน "&amp;Cover!C21&amp;", ติดขัด "&amp;Cover!C22&amp;", ยังไม่ทดสอบ "&amp;Cover!C19</f>
        <v>ผลทดสอบ: ผ่าน 0 จาก 72 รายการ, ไม่ผ่าน 0, ติดขัด 0, ยังไม่ทดสอบ 72</v>
      </c>
      <c r="C4" s="27"/>
      <c r="D4" s="27"/>
      <c r="E4" s="27"/>
      <c r="F4" s="27"/>
    </row>
    <row r="5" spans="2:6" x14ac:dyDescent="0.45">
      <c r="B5" s="27" t="s">
        <v>535</v>
      </c>
      <c r="C5" s="27"/>
      <c r="D5" s="27"/>
      <c r="E5" s="27"/>
      <c r="F5" s="27"/>
    </row>
    <row r="7" spans="2:6" x14ac:dyDescent="0.45">
      <c r="B7" s="5" t="s">
        <v>536</v>
      </c>
      <c r="C7" s="5" t="s">
        <v>537</v>
      </c>
      <c r="D7" s="5" t="s">
        <v>538</v>
      </c>
      <c r="E7" s="5" t="s">
        <v>539</v>
      </c>
      <c r="F7" s="5" t="s">
        <v>540</v>
      </c>
    </row>
    <row r="8" spans="2:6" ht="34.049999999999997" customHeight="1" x14ac:dyDescent="0.45">
      <c r="B8" s="16" t="s">
        <v>541</v>
      </c>
      <c r="C8" s="17"/>
      <c r="D8" s="17"/>
      <c r="E8" s="17"/>
      <c r="F8" s="18"/>
    </row>
    <row r="9" spans="2:6" ht="34.049999999999997" customHeight="1" x14ac:dyDescent="0.45">
      <c r="B9" s="16" t="s">
        <v>542</v>
      </c>
      <c r="C9" s="17"/>
      <c r="D9" s="17"/>
      <c r="E9" s="17"/>
      <c r="F9" s="18"/>
    </row>
    <row r="10" spans="2:6" ht="34.049999999999997" customHeight="1" x14ac:dyDescent="0.45">
      <c r="B10" s="16" t="s">
        <v>543</v>
      </c>
      <c r="C10" s="17"/>
      <c r="D10" s="17"/>
      <c r="E10" s="17"/>
      <c r="F10" s="18"/>
    </row>
    <row r="11" spans="2:6" ht="34.049999999999997" customHeight="1" x14ac:dyDescent="0.45">
      <c r="B11" s="16" t="s">
        <v>544</v>
      </c>
      <c r="C11" s="17"/>
      <c r="D11" s="17"/>
      <c r="E11" s="17"/>
      <c r="F11" s="18"/>
    </row>
    <row r="12" spans="2:6" ht="34.049999999999997" customHeight="1" x14ac:dyDescent="0.45">
      <c r="B12" s="16" t="s">
        <v>545</v>
      </c>
      <c r="C12" s="17"/>
      <c r="D12" s="17"/>
      <c r="E12" s="17"/>
      <c r="F12" s="18"/>
    </row>
    <row r="14" spans="2:6" x14ac:dyDescent="0.45">
      <c r="B14" s="28" t="s">
        <v>546</v>
      </c>
      <c r="C14" s="28"/>
      <c r="D14" s="28"/>
      <c r="E14" s="28"/>
      <c r="F14" s="28"/>
    </row>
    <row r="15" spans="2:6" x14ac:dyDescent="0.45">
      <c r="B15" s="23"/>
      <c r="C15" s="23"/>
      <c r="D15" s="23"/>
      <c r="E15" s="23"/>
      <c r="F15" s="23"/>
    </row>
    <row r="16" spans="2:6" x14ac:dyDescent="0.45">
      <c r="B16" s="23"/>
      <c r="C16" s="23"/>
      <c r="D16" s="23"/>
      <c r="E16" s="23"/>
      <c r="F16" s="23"/>
    </row>
    <row r="17" spans="2:6" x14ac:dyDescent="0.45">
      <c r="B17" s="23"/>
      <c r="C17" s="23"/>
      <c r="D17" s="23"/>
      <c r="E17" s="23"/>
      <c r="F17" s="23"/>
    </row>
    <row r="18" spans="2:6" x14ac:dyDescent="0.45">
      <c r="B18" s="23"/>
      <c r="C18" s="23"/>
      <c r="D18" s="23"/>
      <c r="E18" s="23"/>
      <c r="F18" s="23"/>
    </row>
    <row r="19" spans="2:6" x14ac:dyDescent="0.45">
      <c r="B19" s="23"/>
      <c r="C19" s="23"/>
      <c r="D19" s="23"/>
      <c r="E19" s="23"/>
      <c r="F19" s="23"/>
    </row>
  </sheetData>
  <mergeCells count="5">
    <mergeCell ref="B2:F2"/>
    <mergeCell ref="B4:F4"/>
    <mergeCell ref="B5:F5"/>
    <mergeCell ref="B14:F14"/>
    <mergeCell ref="B15:F19"/>
  </mergeCells>
  <pageMargins left="0.7" right="0.7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Scenarios</vt:lpstr>
      <vt:lpstr>Test Cases</vt:lpstr>
      <vt:lpstr>Test Data</vt:lpstr>
      <vt:lpstr>Sign-off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2026-10-28T09:54:05Z</dcterms:created>
  <dcterms:modified xsi:type="dcterms:W3CDTF">2026-10-28T09:54:17Z</dcterms:modified>
  <cp:category/>
</cp:coreProperties>
</file>